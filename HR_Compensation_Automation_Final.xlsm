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6c08834419f00c5/Desktop/"/>
    </mc:Choice>
  </mc:AlternateContent>
  <xr:revisionPtr revIDLastSave="540" documentId="8_{92BBA63D-505C-439E-8078-4649CEA09A19}" xr6:coauthVersionLast="47" xr6:coauthVersionMax="47" xr10:uidLastSave="{25893373-C2D3-4298-AEE1-BA634200000B}"/>
  <bookViews>
    <workbookView xWindow="-108" yWindow="-108" windowWidth="23256" windowHeight="12456" xr2:uid="{00000000-000D-0000-FFFF-FFFF00000000}"/>
  </bookViews>
  <sheets>
    <sheet name="01_Employee_Master" sheetId="1" r:id="rId1"/>
    <sheet name="02_Employee_Calculator" sheetId="2" r:id="rId2"/>
    <sheet name="03_Policy_Assumptions" sheetId="3" r:id="rId3"/>
    <sheet name="04_Salary_Engine" sheetId="4" r:id="rId4"/>
    <sheet name="05_Validation_Audit" sheetId="5" r:id="rId5"/>
    <sheet name="06_CTC_Statement" sheetId="7" r:id="rId6"/>
    <sheet name="07_Documentation" sheetId="6" state="hidden" r:id="rId7"/>
    <sheet name="07_Monthly_Payslip" sheetId="8" r:id="rId8"/>
    <sheet name="08_Compensation_Planning" sheetId="9" r:id="rId9"/>
    <sheet name="09_Compensation_Simulator" sheetId="10" r:id="rId10"/>
    <sheet name="10_Compensation_Dept Budget" sheetId="12" r:id="rId11"/>
    <sheet name="11_Salary_Benchmark" sheetId="11" r:id="rId12"/>
    <sheet name="12_Compensation_Equity " sheetId="13" r:id="rId13"/>
  </sheets>
  <externalReferences>
    <externalReference r:id="rId14"/>
  </externalReferences>
  <definedNames>
    <definedName name="_xlnm._FilterDatabase" localSheetId="0" hidden="1">'01_Employee_Master'!$A$3:$H$23</definedName>
    <definedName name="_xlnm.Print_Area" localSheetId="7">'07_Monthly_Payslip'!$A$1:$F$14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12" l="1"/>
  <c r="F7" i="12"/>
  <c r="B7" i="13"/>
  <c r="I5" i="11"/>
  <c r="H5" i="11"/>
  <c r="G5" i="11"/>
  <c r="F5" i="11"/>
  <c r="O5" i="11" s="1"/>
  <c r="A5" i="11" a="1"/>
  <c r="A5" i="11" s="1"/>
  <c r="B6" i="10"/>
  <c r="B31" i="10"/>
  <c r="C18" i="9"/>
  <c r="C19" i="9"/>
  <c r="E11" i="1"/>
  <c r="E12" i="9" s="1"/>
  <c r="G12" i="9" s="1"/>
  <c r="E9" i="1"/>
  <c r="E10" i="9" s="1"/>
  <c r="G10" i="9" s="1"/>
  <c r="E10" i="1"/>
  <c r="E11" i="9" s="1"/>
  <c r="G11" i="9" s="1"/>
  <c r="E12" i="1"/>
  <c r="E13" i="9" s="1"/>
  <c r="G13" i="9" s="1"/>
  <c r="E13" i="1"/>
  <c r="E14" i="9" s="1"/>
  <c r="G14" i="9" s="1"/>
  <c r="E14" i="1"/>
  <c r="E15" i="9" s="1"/>
  <c r="G15" i="9" s="1"/>
  <c r="E15" i="1"/>
  <c r="E16" i="9" s="1"/>
  <c r="G16" i="9" s="1"/>
  <c r="E16" i="1"/>
  <c r="E17" i="9" s="1"/>
  <c r="G17" i="9" s="1"/>
  <c r="F12" i="10"/>
  <c r="F13" i="10"/>
  <c r="F14" i="10"/>
  <c r="F15" i="10"/>
  <c r="F17" i="10"/>
  <c r="F18" i="10"/>
  <c r="F19" i="10"/>
  <c r="F20" i="10"/>
  <c r="F21" i="10"/>
  <c r="F22" i="10"/>
  <c r="F23" i="10"/>
  <c r="F24" i="10"/>
  <c r="F11" i="10"/>
  <c r="E12" i="10"/>
  <c r="E13" i="10"/>
  <c r="E14" i="10"/>
  <c r="E15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E11" i="10"/>
  <c r="G11" i="10" s="1"/>
  <c r="H11" i="10" s="1"/>
  <c r="D11" i="10"/>
  <c r="C11" i="10"/>
  <c r="B11" i="10"/>
  <c r="A11" i="10"/>
  <c r="B9" i="2"/>
  <c r="B4" i="4" s="1"/>
  <c r="B17" i="7" s="1"/>
  <c r="E19" i="9"/>
  <c r="D13" i="9"/>
  <c r="D14" i="9"/>
  <c r="D15" i="9"/>
  <c r="D16" i="9"/>
  <c r="D17" i="9"/>
  <c r="D18" i="9"/>
  <c r="D19" i="9"/>
  <c r="D12" i="9"/>
  <c r="C12" i="9"/>
  <c r="C13" i="9"/>
  <c r="C14" i="9"/>
  <c r="C15" i="9"/>
  <c r="C16" i="9"/>
  <c r="C17" i="9"/>
  <c r="B16" i="9"/>
  <c r="B17" i="9"/>
  <c r="B18" i="9"/>
  <c r="B19" i="9"/>
  <c r="A16" i="9"/>
  <c r="A17" i="9"/>
  <c r="A18" i="9"/>
  <c r="A19" i="9"/>
  <c r="B12" i="9"/>
  <c r="B13" i="9"/>
  <c r="B14" i="9"/>
  <c r="B15" i="9"/>
  <c r="A12" i="9"/>
  <c r="A13" i="9"/>
  <c r="A14" i="9"/>
  <c r="A15" i="9"/>
  <c r="E6" i="9"/>
  <c r="E7" i="9"/>
  <c r="G7" i="9" s="1"/>
  <c r="E8" i="9"/>
  <c r="G8" i="9" s="1"/>
  <c r="E9" i="9"/>
  <c r="G9" i="9" s="1"/>
  <c r="D6" i="9"/>
  <c r="D7" i="9"/>
  <c r="D8" i="9"/>
  <c r="D9" i="9"/>
  <c r="D10" i="9"/>
  <c r="D11" i="9"/>
  <c r="C6" i="9"/>
  <c r="C7" i="9"/>
  <c r="C8" i="9"/>
  <c r="C9" i="9"/>
  <c r="C10" i="9"/>
  <c r="C11" i="9"/>
  <c r="B6" i="9"/>
  <c r="B7" i="9"/>
  <c r="B8" i="9"/>
  <c r="B9" i="9"/>
  <c r="B10" i="9"/>
  <c r="B11" i="9"/>
  <c r="A6" i="9"/>
  <c r="A7" i="9"/>
  <c r="A8" i="9"/>
  <c r="A9" i="9"/>
  <c r="A10" i="9"/>
  <c r="A11" i="9"/>
  <c r="E5" i="9"/>
  <c r="G5" i="9" s="1"/>
  <c r="H5" i="9" s="1"/>
  <c r="I5" i="9" s="1"/>
  <c r="D5" i="9"/>
  <c r="C5" i="9"/>
  <c r="B5" i="9"/>
  <c r="A5" i="9"/>
  <c r="C18" i="4"/>
  <c r="E12" i="8" s="1"/>
  <c r="B18" i="4"/>
  <c r="B17" i="4"/>
  <c r="C17" i="4"/>
  <c r="B4" i="8"/>
  <c r="B4" i="7"/>
  <c r="B4" i="5"/>
  <c r="B12" i="2"/>
  <c r="E6" i="7" s="1"/>
  <c r="B11" i="2"/>
  <c r="E4" i="7" s="1"/>
  <c r="B10" i="2"/>
  <c r="B6" i="5" s="1"/>
  <c r="B8" i="2"/>
  <c r="B7" i="7" s="1"/>
  <c r="B7" i="2"/>
  <c r="B6" i="7" s="1"/>
  <c r="B6" i="2"/>
  <c r="B5" i="7" s="1"/>
  <c r="G15" i="10" l="1"/>
  <c r="G14" i="10"/>
  <c r="G13" i="10"/>
  <c r="G12" i="10"/>
  <c r="H8" i="9"/>
  <c r="I8" i="9" s="1"/>
  <c r="H7" i="9"/>
  <c r="I7" i="9" s="1"/>
  <c r="G6" i="9"/>
  <c r="H6" i="9" s="1"/>
  <c r="C7" i="12"/>
  <c r="E5" i="13"/>
  <c r="E7" i="13"/>
  <c r="B7" i="12"/>
  <c r="H9" i="9"/>
  <c r="I9" i="9" s="1"/>
  <c r="L5" i="11"/>
  <c r="J5" i="11"/>
  <c r="K5" i="11" s="1"/>
  <c r="B5" i="13"/>
  <c r="B9" i="13"/>
  <c r="B8" i="13"/>
  <c r="B6" i="13"/>
  <c r="H13" i="10"/>
  <c r="H12" i="10"/>
  <c r="I12" i="10" s="1"/>
  <c r="H14" i="10"/>
  <c r="I11" i="10"/>
  <c r="I14" i="10"/>
  <c r="I13" i="10"/>
  <c r="H15" i="10"/>
  <c r="I15" i="10" s="1"/>
  <c r="E19" i="10"/>
  <c r="E18" i="10"/>
  <c r="E17" i="10"/>
  <c r="E16" i="10"/>
  <c r="E23" i="10"/>
  <c r="E22" i="10"/>
  <c r="E24" i="10"/>
  <c r="E21" i="10"/>
  <c r="E20" i="10"/>
  <c r="E18" i="9"/>
  <c r="B5" i="12"/>
  <c r="B9" i="12"/>
  <c r="B8" i="12"/>
  <c r="B6" i="12"/>
  <c r="H17" i="9"/>
  <c r="I17" i="9" s="1"/>
  <c r="H16" i="9"/>
  <c r="I16" i="9" s="1"/>
  <c r="H15" i="9"/>
  <c r="I15" i="9" s="1"/>
  <c r="H14" i="9"/>
  <c r="I14" i="9" s="1"/>
  <c r="H13" i="9"/>
  <c r="H12" i="9"/>
  <c r="H11" i="9"/>
  <c r="H10" i="9"/>
  <c r="E8" i="13" s="1"/>
  <c r="B5" i="8"/>
  <c r="B6" i="8"/>
  <c r="B7" i="8"/>
  <c r="E4" i="8"/>
  <c r="B13" i="2"/>
  <c r="E5" i="8" s="1"/>
  <c r="E6" i="8"/>
  <c r="E5" i="7"/>
  <c r="B5" i="4"/>
  <c r="B5" i="5"/>
  <c r="C4" i="4"/>
  <c r="C17" i="7" s="1"/>
  <c r="E9" i="13" l="1"/>
  <c r="I6" i="9"/>
  <c r="E6" i="13"/>
  <c r="D7" i="12"/>
  <c r="M5" i="11"/>
  <c r="P25" i="11"/>
  <c r="B28" i="10"/>
  <c r="G24" i="10"/>
  <c r="H24" i="10" s="1"/>
  <c r="I24" i="10" s="1"/>
  <c r="G17" i="10"/>
  <c r="H17" i="10" s="1"/>
  <c r="I17" i="10" s="1"/>
  <c r="G22" i="10"/>
  <c r="H22" i="10" s="1"/>
  <c r="I22" i="10" s="1"/>
  <c r="G23" i="10"/>
  <c r="H23" i="10" s="1"/>
  <c r="I23" i="10" s="1"/>
  <c r="G16" i="10"/>
  <c r="G20" i="10"/>
  <c r="H20" i="10" s="1"/>
  <c r="I20" i="10" s="1"/>
  <c r="G18" i="10"/>
  <c r="H18" i="10" s="1"/>
  <c r="I18" i="10" s="1"/>
  <c r="G21" i="10"/>
  <c r="H21" i="10" s="1"/>
  <c r="I21" i="10" s="1"/>
  <c r="G19" i="10"/>
  <c r="H19" i="10" s="1"/>
  <c r="I19" i="10" s="1"/>
  <c r="B7" i="10"/>
  <c r="G18" i="9"/>
  <c r="H18" i="9" s="1"/>
  <c r="I18" i="9" s="1"/>
  <c r="I10" i="9"/>
  <c r="C8" i="12"/>
  <c r="D8" i="12" s="1"/>
  <c r="F8" i="12" s="1"/>
  <c r="G8" i="12" s="1"/>
  <c r="I11" i="9"/>
  <c r="C9" i="12"/>
  <c r="D9" i="12" s="1"/>
  <c r="F9" i="12" s="1"/>
  <c r="G9" i="12" s="1"/>
  <c r="I13" i="9"/>
  <c r="C6" i="12"/>
  <c r="D6" i="12" s="1"/>
  <c r="F6" i="12" s="1"/>
  <c r="G6" i="12" s="1"/>
  <c r="I12" i="9"/>
  <c r="C5" i="12"/>
  <c r="C5" i="4"/>
  <c r="C16" i="7" s="1"/>
  <c r="B16" i="7"/>
  <c r="B6" i="4"/>
  <c r="P5" i="11" l="1"/>
  <c r="P24" i="11"/>
  <c r="P23" i="11"/>
  <c r="P22" i="11"/>
  <c r="B29" i="10"/>
  <c r="H16" i="10"/>
  <c r="B30" i="10" s="1"/>
  <c r="D5" i="12"/>
  <c r="F5" i="12" s="1"/>
  <c r="G5" i="12" s="1"/>
  <c r="C6" i="4"/>
  <c r="B7" i="4"/>
  <c r="B10" i="7" s="1"/>
  <c r="B32" i="10" l="1"/>
  <c r="B34" i="10" s="1"/>
  <c r="B33" i="10"/>
  <c r="I16" i="10"/>
  <c r="J11" i="10" s="1"/>
  <c r="B13" i="4"/>
  <c r="B9" i="4"/>
  <c r="C9" i="4" s="1"/>
  <c r="B10" i="4"/>
  <c r="B8" i="4"/>
  <c r="C7" i="4"/>
  <c r="J13" i="10" l="1"/>
  <c r="J15" i="10"/>
  <c r="J17" i="10"/>
  <c r="J14" i="10"/>
  <c r="J16" i="10"/>
  <c r="J20" i="10"/>
  <c r="J18" i="10"/>
  <c r="J12" i="10"/>
  <c r="J23" i="10"/>
  <c r="J19" i="10"/>
  <c r="J22" i="10"/>
  <c r="J21" i="10"/>
  <c r="J24" i="10"/>
  <c r="B11" i="4"/>
  <c r="B12" i="7" s="1"/>
  <c r="B11" i="8"/>
  <c r="C10" i="7"/>
  <c r="C10" i="4"/>
  <c r="C15" i="7" s="1"/>
  <c r="B15" i="7"/>
  <c r="C8" i="4"/>
  <c r="B11" i="7"/>
  <c r="E11" i="8"/>
  <c r="C14" i="7"/>
  <c r="C13" i="4"/>
  <c r="B14" i="7"/>
  <c r="B12" i="4" l="1"/>
  <c r="C12" i="4" s="1"/>
  <c r="C11" i="4"/>
  <c r="B13" i="8" s="1"/>
  <c r="B15" i="4"/>
  <c r="C15" i="4" s="1"/>
  <c r="B7" i="5"/>
  <c r="B12" i="8"/>
  <c r="C11" i="7"/>
  <c r="B14" i="4" l="1"/>
  <c r="C14" i="4" s="1"/>
  <c r="B13" i="7"/>
  <c r="B16" i="4"/>
  <c r="C16" i="4" s="1"/>
  <c r="C19" i="4" s="1"/>
  <c r="C12" i="7"/>
  <c r="B14" i="8"/>
  <c r="C13" i="7"/>
  <c r="B8" i="5" l="1"/>
  <c r="B21" i="7" s="1"/>
  <c r="B19" i="4"/>
  <c r="B20" i="4" s="1"/>
  <c r="B20" i="7"/>
  <c r="C20" i="4"/>
  <c r="E14" i="8" s="1"/>
  <c r="E13" i="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<sst xmlns="http://schemas.openxmlformats.org/spreadsheetml/2006/main" count="369" uniqueCount="207">
  <si>
    <t>Employee Master Dataset</t>
  </si>
  <si>
    <t>Employee ID</t>
  </si>
  <si>
    <t>Employee Name</t>
  </si>
  <si>
    <t>Department</t>
  </si>
  <si>
    <t>Designation</t>
  </si>
  <si>
    <t>Annual CTC</t>
  </si>
  <si>
    <t>Variable Pay %</t>
  </si>
  <si>
    <t>Pay Period</t>
  </si>
  <si>
    <t>Employment Status</t>
  </si>
  <si>
    <t>EMP001</t>
  </si>
  <si>
    <t>Aarav Mehta</t>
  </si>
  <si>
    <t>HR</t>
  </si>
  <si>
    <t>HR Analyst</t>
  </si>
  <si>
    <t>April 2026</t>
  </si>
  <si>
    <t>Active</t>
  </si>
  <si>
    <t>EMP002</t>
  </si>
  <si>
    <t>Riya Shah</t>
  </si>
  <si>
    <t>Finance</t>
  </si>
  <si>
    <t>Financial Analyst</t>
  </si>
  <si>
    <t>EMP003</t>
  </si>
  <si>
    <t>Kabir Joshi</t>
  </si>
  <si>
    <t>Sales</t>
  </si>
  <si>
    <t>Sales Executive</t>
  </si>
  <si>
    <t>EMP004</t>
  </si>
  <si>
    <t>Meera Iyer</t>
  </si>
  <si>
    <t>IT</t>
  </si>
  <si>
    <t>Data Analyst</t>
  </si>
  <si>
    <t>EMP005</t>
  </si>
  <si>
    <t>Vivaan Rao</t>
  </si>
  <si>
    <t>Marketing</t>
  </si>
  <si>
    <t>Marketing Executive</t>
  </si>
  <si>
    <t>Employee Selection &amp; Calculator Panel</t>
  </si>
  <si>
    <t>Select Employee ID</t>
  </si>
  <si>
    <t>Selected Employee Details</t>
  </si>
  <si>
    <t>Compensation Policy Assumptions</t>
  </si>
  <si>
    <t>Assumption</t>
  </si>
  <si>
    <t>Value</t>
  </si>
  <si>
    <t>Explanation</t>
  </si>
  <si>
    <t>Employee-level variable pay % is stored in the master dataset.</t>
  </si>
  <si>
    <t>Basic % of Fixed CTC</t>
  </si>
  <si>
    <t>Illustrative assumption.</t>
  </si>
  <si>
    <t>HRA % of Basic</t>
  </si>
  <si>
    <t>Employer PF % of Basic</t>
  </si>
  <si>
    <t>Simplified assumption, not a statutory compliance engine.</t>
  </si>
  <si>
    <t>Gratuity % of Basic</t>
  </si>
  <si>
    <t>Illustrative annual provision.</t>
  </si>
  <si>
    <t>Employee PF % of Basic</t>
  </si>
  <si>
    <t>Simplified deduction assumption.</t>
  </si>
  <si>
    <t>Salary Calculation Engine</t>
  </si>
  <si>
    <t>Component</t>
  </si>
  <si>
    <t>Annual Amount</t>
  </si>
  <si>
    <t>Monthly Amount</t>
  </si>
  <si>
    <t>Calculation Logic</t>
  </si>
  <si>
    <t>Total CTC</t>
  </si>
  <si>
    <t>Selected employee annual CTC</t>
  </si>
  <si>
    <t>Variable Pay</t>
  </si>
  <si>
    <t>Total CTC × variable pay %</t>
  </si>
  <si>
    <t>Fixed CTC</t>
  </si>
  <si>
    <t>Total CTC − variable pay</t>
  </si>
  <si>
    <t>Basic Salary</t>
  </si>
  <si>
    <t>Fixed CTC × basic %</t>
  </si>
  <si>
    <t>HRA</t>
  </si>
  <si>
    <t>Basic × HRA %</t>
  </si>
  <si>
    <t>Employer PF</t>
  </si>
  <si>
    <t>Basic × employer PF %</t>
  </si>
  <si>
    <t>Gratuity</t>
  </si>
  <si>
    <t>Basic × gratuity %</t>
  </si>
  <si>
    <t>Other Allowance</t>
  </si>
  <si>
    <t>Balancing component</t>
  </si>
  <si>
    <t>Gross Earnings</t>
  </si>
  <si>
    <t>Basic + HRA + other allowance</t>
  </si>
  <si>
    <t>Employee PF</t>
  </si>
  <si>
    <t>Basic × employee PF %</t>
  </si>
  <si>
    <t>Net Pay Before Other Deductions</t>
  </si>
  <si>
    <t>Gross earnings − employee PF</t>
  </si>
  <si>
    <t>Total CTC Check</t>
  </si>
  <si>
    <t>Reconstructed CTC</t>
  </si>
  <si>
    <t>Reconciliation Difference</t>
  </si>
  <si>
    <t>Original CTC − reconstructed CTC</t>
  </si>
  <si>
    <t>Validation &amp; Audit Checks</t>
  </si>
  <si>
    <t>Validation Check</t>
  </si>
  <si>
    <t>Result</t>
  </si>
  <si>
    <t>Reason</t>
  </si>
  <si>
    <t>Employee ID exists</t>
  </si>
  <si>
    <t>Selected ID must exist exactly once.</t>
  </si>
  <si>
    <t>Annual CTC is positive</t>
  </si>
  <si>
    <t>CTC must be greater than zero.</t>
  </si>
  <si>
    <t>Variable Pay % is valid</t>
  </si>
  <si>
    <t>Percentage must be 0%–100%.</t>
  </si>
  <si>
    <t>Other Allowance is non-negative</t>
  </si>
  <si>
    <t>Negative allowance indicates an inconsistent structure.</t>
  </si>
  <si>
    <t>CTC reconciliation passes</t>
  </si>
  <si>
    <t>Reconstructed CTC must match original CTC.</t>
  </si>
  <si>
    <t>Project Documentation</t>
  </si>
  <si>
    <t>Purpose</t>
  </si>
  <si>
    <t>Illustrative HR compensation structure and salary calculation tool.</t>
  </si>
  <si>
    <t>Model Type</t>
  </si>
  <si>
    <t>Configurable assumption-based model; not a complete payroll compliance system.</t>
  </si>
  <si>
    <t>Included in annual CTC but not automatically paid monthly.</t>
  </si>
  <si>
    <t>Employer Contributions</t>
  </si>
  <si>
    <t>Shown separately and excluded from employee net pay.</t>
  </si>
  <si>
    <t>Data Structure</t>
  </si>
  <si>
    <t>Employee Master stores multiple records; calculator uses Employee ID.</t>
  </si>
  <si>
    <t>Next Phase</t>
  </si>
  <si>
    <t>Create formatted CTC statement, payslip, and VBA workflow.</t>
  </si>
  <si>
    <t>ANNUAL COMPENSATION &amp; CTC STATEMENT</t>
  </si>
  <si>
    <t>Compensation Component</t>
  </si>
  <si>
    <t>Category</t>
  </si>
  <si>
    <t>Earnings</t>
  </si>
  <si>
    <t>Employer Cost</t>
  </si>
  <si>
    <t>Variable</t>
  </si>
  <si>
    <t>Total</t>
  </si>
  <si>
    <t>Validation Summary</t>
  </si>
  <si>
    <t>Validation Status</t>
  </si>
  <si>
    <t>MONTHLY SALARY PAYSLIP</t>
  </si>
  <si>
    <t>Monthly Salary</t>
  </si>
  <si>
    <t>EARNINGS</t>
  </si>
  <si>
    <t>DEDUCTIONS</t>
  </si>
  <si>
    <t>Other Deductions</t>
  </si>
  <si>
    <t>Total Deductions</t>
  </si>
  <si>
    <t>Net Pay</t>
  </si>
  <si>
    <t>Professional Tax (Monthly)</t>
  </si>
  <si>
    <t>Other Deductions (Monthly)</t>
  </si>
  <si>
    <t>Professional Tax</t>
  </si>
  <si>
    <t>EMP006</t>
  </si>
  <si>
    <t>EMP007</t>
  </si>
  <si>
    <t>EMP008</t>
  </si>
  <si>
    <t>EMP009</t>
  </si>
  <si>
    <t>EMP010</t>
  </si>
  <si>
    <t>EMP011</t>
  </si>
  <si>
    <t>EMP012</t>
  </si>
  <si>
    <t>EMP013</t>
  </si>
  <si>
    <t>Sania</t>
  </si>
  <si>
    <t>Shahbaaz</t>
  </si>
  <si>
    <t>Shabana</t>
  </si>
  <si>
    <t>Rafique</t>
  </si>
  <si>
    <t>Farhana</t>
  </si>
  <si>
    <t>Mahira</t>
  </si>
  <si>
    <t>Carlos</t>
  </si>
  <si>
    <t>James</t>
  </si>
  <si>
    <t>Wealth Management</t>
  </si>
  <si>
    <t>Portfolio Management</t>
  </si>
  <si>
    <t>Sales &amp; Strategy</t>
  </si>
  <si>
    <t>Consultant</t>
  </si>
  <si>
    <t xml:space="preserve">Data Engineer </t>
  </si>
  <si>
    <t>April 2027</t>
  </si>
  <si>
    <t xml:space="preserve">Passive </t>
  </si>
  <si>
    <t>EMP014</t>
  </si>
  <si>
    <t>Pradyumna</t>
  </si>
  <si>
    <t>Shethphalkar</t>
  </si>
  <si>
    <t>..</t>
  </si>
  <si>
    <t>Current Annual CTC</t>
  </si>
  <si>
    <t>Increment %</t>
  </si>
  <si>
    <t>Increment Amount</t>
  </si>
  <si>
    <t>Proposed Annual CTC</t>
  </si>
  <si>
    <t>Proposed Monthly CTC</t>
  </si>
  <si>
    <t>Revision Status</t>
  </si>
  <si>
    <t>Revision Reason</t>
  </si>
  <si>
    <t>Draft</t>
  </si>
  <si>
    <t>Annual Performance Review</t>
  </si>
  <si>
    <t>Sum</t>
  </si>
  <si>
    <t>Average</t>
  </si>
  <si>
    <t>Running Total</t>
  </si>
  <si>
    <t>Count</t>
  </si>
  <si>
    <t>Current Total CTC</t>
  </si>
  <si>
    <t>Proposed Total CTC</t>
  </si>
  <si>
    <t>Total Increment Cost</t>
  </si>
  <si>
    <t>Allocated Budget</t>
  </si>
  <si>
    <t>Budget Variance</t>
  </si>
  <si>
    <t>Budget Status</t>
  </si>
  <si>
    <t>Within Budget</t>
  </si>
  <si>
    <t>Over Budget</t>
  </si>
  <si>
    <t>Scenario Name</t>
  </si>
  <si>
    <t>Scenario 1</t>
  </si>
  <si>
    <t>Total Workforce Budget</t>
  </si>
  <si>
    <t>Current CTC</t>
  </si>
  <si>
    <t>Scenario Increment %</t>
  </si>
  <si>
    <t>Proposed CTC</t>
  </si>
  <si>
    <t>Additional Cost</t>
  </si>
  <si>
    <t>Budget Impact</t>
  </si>
  <si>
    <t>SCENARIO SUMMARY</t>
  </si>
  <si>
    <t>Total Current CTC</t>
  </si>
  <si>
    <t>Total Proposed CTC</t>
  </si>
  <si>
    <t>Total Budget</t>
  </si>
  <si>
    <t>Remaining Budget</t>
  </si>
  <si>
    <t>Budget Utilization</t>
  </si>
  <si>
    <t>Scenario Status</t>
  </si>
  <si>
    <t>Salary Band Minimum</t>
  </si>
  <si>
    <t>Salary Band Midpoint</t>
  </si>
  <si>
    <t>Salary Band Maximum</t>
  </si>
  <si>
    <t>Benchmark Midpoint</t>
  </si>
  <si>
    <t>Compa-Ratio</t>
  </si>
  <si>
    <t>Position in Range</t>
  </si>
  <si>
    <t>Flag</t>
  </si>
  <si>
    <t>Exception</t>
  </si>
  <si>
    <t>Summary</t>
  </si>
  <si>
    <t>Employees Below Range</t>
  </si>
  <si>
    <t>Employees Within Range</t>
  </si>
  <si>
    <t>Employees Above Range</t>
  </si>
  <si>
    <t>Average Compa-Ratio</t>
  </si>
  <si>
    <t>Average Current CTC</t>
  </si>
  <si>
    <t>Average Proposed CTC</t>
  </si>
  <si>
    <t>s</t>
  </si>
  <si>
    <t>COMPENSATION EQUITY</t>
  </si>
  <si>
    <t>SALARY BENCHMARK</t>
  </si>
  <si>
    <t>DEPARTMENT BUDGET</t>
  </si>
  <si>
    <t>COMPENSATION SIMULATOR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</si>
</sst>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₹&quot;\ #,##0.00;&quot;₹&quot;\ \-#,##0.00"/>
    <numFmt numFmtId="164" formatCode="\₹#,##0.00"/>
  </numFmts>
  <fonts count="13" x14ac:knownFonts="1">
    <font>
      <sz val="11"/>
      <color theme="1"/>
      <name val="Calibri"/>
      <family val="2"/>
      <scheme val="minor"/>
    </font>
    <font>
      <b/>
      <sz val="15"/>
      <color rgb="FFFFFFFF"/>
      <name val="Calibri"/>
      <family val="2"/>
    </font>
    <font>
      <b/>
      <sz val="11"/>
      <color rgb="FFFFFFFF"/>
      <name val="Calibri"/>
      <family val="2"/>
    </font>
    <font>
      <b/>
      <sz val="11"/>
      <name val="Calibri"/>
      <family val="2"/>
    </font>
    <font>
      <b/>
      <sz val="12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5"/>
      <color rgb="FFFFFFFF"/>
      <name val="Calibri"/>
      <family val="2"/>
    </font>
    <font>
      <b/>
      <sz val="16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FFF2CC"/>
      </patternFill>
    </fill>
    <fill>
      <patternFill patternType="solid">
        <fgColor rgb="FFD9EAF7"/>
        <bgColor rgb="FFFFFFFF"/>
      </patternFill>
    </fill>
    <fill>
      <patternFill patternType="solid">
        <fgColor rgb="FFE2F0D9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rgb="FF227ACB"/>
        <bgColor indexed="64"/>
      </patternFill>
    </fill>
  </fills>
  <borders count="4">
    <border>
      <left/>
      <right/>
      <top/>
      <bottom/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4C7E7"/>
      </left>
      <right style="thin">
        <color rgb="FFB4C7E7"/>
      </right>
      <top style="thin">
        <color rgb="FFB4C7E7"/>
      </top>
      <bottom style="thin">
        <color rgb="FFB4C7E7"/>
      </bottom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44">
    <xf numFmtId="0" fontId="0" fillId="0" borderId="0" xfId="0"/>
    <xf numFmtId="0" fontId="0" fillId="0" borderId="0" xfId="0" applyAlignment="1">
      <alignment vertical="center" wrapText="1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164" fontId="0" fillId="0" borderId="1" xfId="0" applyNumberFormat="1" applyBorder="1" applyAlignment="1">
      <alignment vertical="center" wrapText="1"/>
    </xf>
    <xf numFmtId="10" fontId="0" fillId="0" borderId="1" xfId="0" applyNumberForma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3" fillId="0" borderId="1" xfId="0" applyFont="1" applyBorder="1" applyAlignment="1">
      <alignment vertical="center" wrapText="1"/>
    </xf>
    <xf numFmtId="7" fontId="0" fillId="0" borderId="0" xfId="0" applyNumberFormat="1" applyAlignment="1">
      <alignment vertical="center" wrapText="1"/>
    </xf>
    <xf numFmtId="7" fontId="2" fillId="2" borderId="1" xfId="0" applyNumberFormat="1" applyFont="1" applyFill="1" applyBorder="1" applyAlignment="1">
      <alignment vertical="center" wrapText="1"/>
    </xf>
    <xf numFmtId="7" fontId="0" fillId="0" borderId="1" xfId="0" applyNumberFormat="1" applyBorder="1" applyAlignment="1">
      <alignment vertical="center" wrapText="1"/>
    </xf>
    <xf numFmtId="7" fontId="0" fillId="0" borderId="0" xfId="0" applyNumberFormat="1"/>
    <xf numFmtId="0" fontId="0" fillId="0" borderId="2" xfId="0" applyBorder="1" applyAlignment="1">
      <alignment vertical="center" wrapText="1"/>
    </xf>
    <xf numFmtId="7" fontId="0" fillId="0" borderId="2" xfId="0" applyNumberFormat="1" applyBorder="1" applyAlignment="1">
      <alignment vertical="center" wrapText="1"/>
    </xf>
    <xf numFmtId="0" fontId="8" fillId="0" borderId="0" xfId="0" applyFont="1"/>
    <xf numFmtId="0" fontId="0" fillId="0" borderId="2" xfId="0" applyBorder="1"/>
    <xf numFmtId="7" fontId="0" fillId="0" borderId="2" xfId="0" applyNumberFormat="1" applyBorder="1"/>
    <xf numFmtId="0" fontId="5" fillId="0" borderId="0" xfId="0" applyFont="1" applyAlignment="1">
      <alignment vertical="center" wrapText="1"/>
    </xf>
    <xf numFmtId="0" fontId="5" fillId="0" borderId="2" xfId="0" applyFont="1" applyBorder="1" applyAlignment="1">
      <alignment vertical="center" wrapText="1"/>
    </xf>
    <xf numFmtId="0" fontId="5" fillId="0" borderId="2" xfId="0" applyFont="1" applyBorder="1"/>
    <xf numFmtId="0" fontId="3" fillId="0" borderId="2" xfId="0" applyFont="1" applyBorder="1" applyAlignment="1">
      <alignment vertical="center" wrapText="1"/>
    </xf>
    <xf numFmtId="164" fontId="0" fillId="0" borderId="2" xfId="0" applyNumberFormat="1" applyBorder="1" applyAlignment="1">
      <alignment vertical="center" wrapText="1"/>
    </xf>
    <xf numFmtId="10" fontId="0" fillId="0" borderId="2" xfId="0" applyNumberFormat="1" applyBorder="1" applyAlignment="1">
      <alignment vertical="center" wrapText="1"/>
    </xf>
    <xf numFmtId="0" fontId="9" fillId="0" borderId="3" xfId="0" applyFont="1" applyBorder="1" applyAlignment="1">
      <alignment vertical="center" wrapText="1"/>
    </xf>
    <xf numFmtId="164" fontId="0" fillId="3" borderId="3" xfId="0" applyNumberFormat="1" applyFill="1" applyBorder="1" applyAlignment="1">
      <alignment vertical="center" wrapText="1"/>
    </xf>
    <xf numFmtId="0" fontId="6" fillId="0" borderId="3" xfId="0" applyFont="1" applyBorder="1" applyAlignment="1">
      <alignment vertical="center" wrapText="1"/>
    </xf>
    <xf numFmtId="164" fontId="6" fillId="0" borderId="3" xfId="0" applyNumberFormat="1" applyFont="1" applyBorder="1" applyAlignment="1">
      <alignment vertical="center" wrapText="1"/>
    </xf>
    <xf numFmtId="0" fontId="9" fillId="4" borderId="3" xfId="0" applyFont="1" applyFill="1" applyBorder="1" applyAlignment="1">
      <alignment vertical="center" wrapText="1"/>
    </xf>
    <xf numFmtId="164" fontId="9" fillId="4" borderId="3" xfId="0" applyNumberFormat="1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 wrapText="1"/>
    </xf>
    <xf numFmtId="164" fontId="9" fillId="5" borderId="3" xfId="0" applyNumberFormat="1" applyFont="1" applyFill="1" applyBorder="1" applyAlignment="1">
      <alignment vertical="center" wrapText="1"/>
    </xf>
    <xf numFmtId="0" fontId="5" fillId="0" borderId="0" xfId="0" applyFont="1"/>
    <xf numFmtId="0" fontId="1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0" fillId="0" borderId="0" xfId="0" applyBorder="1"/>
    <xf numFmtId="7" fontId="0" fillId="0" borderId="2" xfId="0" applyNumberFormat="1" applyFont="1" applyBorder="1"/>
    <xf numFmtId="9" fontId="0" fillId="0" borderId="2" xfId="1" applyFont="1" applyBorder="1"/>
    <xf numFmtId="0" fontId="0" fillId="6" borderId="0" xfId="0" applyFill="1"/>
    <xf numFmtId="0" fontId="7" fillId="7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9" fontId="0" fillId="0" borderId="2" xfId="0" applyNumberFormat="1" applyBorder="1"/>
    <xf numFmtId="0" fontId="5" fillId="0" borderId="0" xfId="0" applyFont="1" applyAlignment="1">
      <alignment horizontal="center"/>
    </xf>
    <xf numFmtId="0" fontId="0" fillId="6" borderId="2" xfId="0" applyFill="1" applyBorder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</xdr:colOff>
          <xdr:row>4</xdr:row>
          <xdr:rowOff>7620</xdr:rowOff>
        </xdr:from>
        <xdr:to>
          <xdr:col>10</xdr:col>
          <xdr:colOff>22860</xdr:colOff>
          <xdr:row>7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Employee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198120</xdr:colOff>
          <xdr:row>9</xdr:row>
          <xdr:rowOff>76200</xdr:rowOff>
        </xdr:from>
        <xdr:to>
          <xdr:col>10</xdr:col>
          <xdr:colOff>60960</xdr:colOff>
          <xdr:row>12</xdr:row>
          <xdr:rowOff>83820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Payslip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6</xdr:row>
          <xdr:rowOff>53340</xdr:rowOff>
        </xdr:from>
        <xdr:to>
          <xdr:col>12</xdr:col>
          <xdr:colOff>335280</xdr:colOff>
          <xdr:row>9</xdr:row>
          <xdr:rowOff>60960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CTC Statement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hahb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nerateMonthlyPayslipPDF"/>
      <definedName name="ValidateSelectedEmployee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76"/>
  <sheetViews>
    <sheetView showGridLines="0" tabSelected="1" workbookViewId="0">
      <pane ySplit="3" topLeftCell="A4" activePane="bottomLeft" state="frozen"/>
      <selection pane="bottomLeft" activeCell="J4" sqref="J4"/>
    </sheetView>
  </sheetViews>
  <sheetFormatPr defaultRowHeight="14.4" x14ac:dyDescent="0.3"/>
  <cols>
    <col min="1" max="1" width="13.77734375" bestFit="1" customWidth="1"/>
    <col min="2" max="2" width="22" customWidth="1"/>
    <col min="3" max="3" width="18" customWidth="1"/>
    <col min="4" max="4" width="24" customWidth="1"/>
    <col min="5" max="7" width="16" customWidth="1"/>
    <col min="8" max="8" width="18" customWidth="1"/>
  </cols>
  <sheetData>
    <row r="1" spans="1:8" ht="59.4" customHeight="1" x14ac:dyDescent="0.3">
      <c r="A1" s="33" t="s">
        <v>0</v>
      </c>
      <c r="B1" s="33"/>
      <c r="C1" s="33"/>
      <c r="D1" s="33"/>
      <c r="E1" s="33"/>
      <c r="F1" s="33"/>
      <c r="G1" s="33"/>
      <c r="H1" s="33"/>
    </row>
    <row r="2" spans="1:8" x14ac:dyDescent="0.3">
      <c r="A2" s="1"/>
      <c r="B2" s="1"/>
      <c r="C2" s="1"/>
      <c r="D2" s="1"/>
      <c r="E2" s="1"/>
      <c r="F2" s="1"/>
      <c r="G2" s="1"/>
      <c r="H2" s="1"/>
    </row>
    <row r="3" spans="1:8" x14ac:dyDescent="0.3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  <c r="H3" s="2" t="s">
        <v>8</v>
      </c>
    </row>
    <row r="4" spans="1:8" x14ac:dyDescent="0.3">
      <c r="A4" s="3" t="s">
        <v>9</v>
      </c>
      <c r="B4" s="3" t="s">
        <v>10</v>
      </c>
      <c r="C4" s="3" t="s">
        <v>11</v>
      </c>
      <c r="D4" s="3" t="s">
        <v>12</v>
      </c>
      <c r="E4" s="4">
        <v>600000</v>
      </c>
      <c r="F4" s="5">
        <v>0.1</v>
      </c>
      <c r="G4" s="3" t="s">
        <v>13</v>
      </c>
      <c r="H4" s="3" t="s">
        <v>14</v>
      </c>
    </row>
    <row r="5" spans="1:8" x14ac:dyDescent="0.3">
      <c r="A5" s="3" t="s">
        <v>15</v>
      </c>
      <c r="B5" s="3" t="s">
        <v>16</v>
      </c>
      <c r="C5" s="3" t="s">
        <v>17</v>
      </c>
      <c r="D5" s="3" t="s">
        <v>18</v>
      </c>
      <c r="E5" s="4">
        <v>720000</v>
      </c>
      <c r="F5" s="5">
        <v>0.12</v>
      </c>
      <c r="G5" s="3" t="s">
        <v>13</v>
      </c>
      <c r="H5" s="3" t="s">
        <v>14</v>
      </c>
    </row>
    <row r="6" spans="1:8" x14ac:dyDescent="0.3">
      <c r="A6" s="3" t="s">
        <v>19</v>
      </c>
      <c r="B6" s="3" t="s">
        <v>20</v>
      </c>
      <c r="C6" s="3" t="s">
        <v>21</v>
      </c>
      <c r="D6" s="3" t="s">
        <v>22</v>
      </c>
      <c r="E6" s="4">
        <v>480000</v>
      </c>
      <c r="F6" s="5">
        <v>0.08</v>
      </c>
      <c r="G6" s="3" t="s">
        <v>13</v>
      </c>
      <c r="H6" s="3" t="s">
        <v>14</v>
      </c>
    </row>
    <row r="7" spans="1:8" x14ac:dyDescent="0.3">
      <c r="A7" s="3" t="s">
        <v>23</v>
      </c>
      <c r="B7" s="3" t="s">
        <v>24</v>
      </c>
      <c r="C7" s="3" t="s">
        <v>25</v>
      </c>
      <c r="D7" s="3" t="s">
        <v>26</v>
      </c>
      <c r="E7" s="4">
        <v>900000</v>
      </c>
      <c r="F7" s="5">
        <v>0.1</v>
      </c>
      <c r="G7" s="3" t="s">
        <v>13</v>
      </c>
      <c r="H7" s="3" t="s">
        <v>14</v>
      </c>
    </row>
    <row r="8" spans="1:8" x14ac:dyDescent="0.3">
      <c r="A8" s="3" t="s">
        <v>27</v>
      </c>
      <c r="B8" s="3" t="s">
        <v>28</v>
      </c>
      <c r="C8" s="3" t="s">
        <v>29</v>
      </c>
      <c r="D8" s="3" t="s">
        <v>30</v>
      </c>
      <c r="E8" s="4">
        <v>540000</v>
      </c>
      <c r="F8" s="5">
        <v>0.1</v>
      </c>
      <c r="G8" s="3" t="s">
        <v>13</v>
      </c>
      <c r="H8" s="3" t="s">
        <v>14</v>
      </c>
    </row>
    <row r="9" spans="1:8" x14ac:dyDescent="0.3">
      <c r="A9" s="3" t="s">
        <v>124</v>
      </c>
      <c r="B9" s="3" t="s">
        <v>132</v>
      </c>
      <c r="C9" s="3" t="s">
        <v>25</v>
      </c>
      <c r="D9" s="3" t="s">
        <v>140</v>
      </c>
      <c r="E9" s="4">
        <f ca="1">RANDBETWEEN(500000,900000 )</f>
        <v>809996</v>
      </c>
      <c r="F9" s="5">
        <v>0.1</v>
      </c>
      <c r="G9" s="3" t="s">
        <v>13</v>
      </c>
      <c r="H9" s="3" t="s">
        <v>14</v>
      </c>
    </row>
    <row r="10" spans="1:8" x14ac:dyDescent="0.3">
      <c r="A10" s="3" t="s">
        <v>125</v>
      </c>
      <c r="B10" s="3" t="s">
        <v>133</v>
      </c>
      <c r="C10" s="3" t="s">
        <v>29</v>
      </c>
      <c r="D10" s="3" t="s">
        <v>141</v>
      </c>
      <c r="E10" s="4">
        <f t="shared" ref="E10:E16" ca="1" si="0">RANDBETWEEN(500000,900000 )</f>
        <v>815368</v>
      </c>
      <c r="F10" s="5">
        <v>0.1</v>
      </c>
      <c r="G10" s="3" t="s">
        <v>13</v>
      </c>
      <c r="H10" s="3" t="s">
        <v>14</v>
      </c>
    </row>
    <row r="11" spans="1:8" x14ac:dyDescent="0.3">
      <c r="A11" s="3" t="s">
        <v>126</v>
      </c>
      <c r="B11" s="3" t="s">
        <v>134</v>
      </c>
      <c r="C11" s="3" t="s">
        <v>11</v>
      </c>
      <c r="D11" s="3" t="s">
        <v>142</v>
      </c>
      <c r="E11" s="4">
        <f t="shared" ca="1" si="0"/>
        <v>505433</v>
      </c>
      <c r="F11" s="5">
        <v>0.1</v>
      </c>
      <c r="G11" s="3" t="s">
        <v>13</v>
      </c>
      <c r="H11" s="3" t="s">
        <v>146</v>
      </c>
    </row>
    <row r="12" spans="1:8" x14ac:dyDescent="0.3">
      <c r="A12" s="3" t="s">
        <v>127</v>
      </c>
      <c r="B12" s="3" t="s">
        <v>135</v>
      </c>
      <c r="C12" s="3" t="s">
        <v>17</v>
      </c>
      <c r="D12" s="3" t="s">
        <v>143</v>
      </c>
      <c r="E12" s="4">
        <f t="shared" ca="1" si="0"/>
        <v>728857</v>
      </c>
      <c r="F12" s="5">
        <v>0.1</v>
      </c>
      <c r="G12" s="3" t="s">
        <v>13</v>
      </c>
      <c r="H12" s="3" t="s">
        <v>14</v>
      </c>
    </row>
    <row r="13" spans="1:8" x14ac:dyDescent="0.3">
      <c r="A13" s="3" t="s">
        <v>128</v>
      </c>
      <c r="B13" s="3" t="s">
        <v>136</v>
      </c>
      <c r="C13" s="3" t="s">
        <v>29</v>
      </c>
      <c r="D13" s="3" t="s">
        <v>144</v>
      </c>
      <c r="E13" s="4">
        <f t="shared" ca="1" si="0"/>
        <v>713960</v>
      </c>
      <c r="F13" s="5">
        <v>0.1</v>
      </c>
      <c r="G13" s="3" t="s">
        <v>13</v>
      </c>
      <c r="H13" s="3" t="s">
        <v>14</v>
      </c>
    </row>
    <row r="14" spans="1:8" x14ac:dyDescent="0.3">
      <c r="A14" s="3" t="s">
        <v>129</v>
      </c>
      <c r="B14" s="3" t="s">
        <v>137</v>
      </c>
      <c r="C14" s="3" t="s">
        <v>29</v>
      </c>
      <c r="D14" s="3" t="s">
        <v>12</v>
      </c>
      <c r="E14" s="4">
        <f t="shared" ca="1" si="0"/>
        <v>736046</v>
      </c>
      <c r="F14" s="5">
        <v>0.1</v>
      </c>
      <c r="G14" s="3" t="s">
        <v>13</v>
      </c>
      <c r="H14" s="3" t="s">
        <v>146</v>
      </c>
    </row>
    <row r="15" spans="1:8" x14ac:dyDescent="0.3">
      <c r="A15" s="3" t="s">
        <v>130</v>
      </c>
      <c r="B15" s="3" t="s">
        <v>138</v>
      </c>
      <c r="C15" s="3" t="s">
        <v>25</v>
      </c>
      <c r="D15" s="3" t="s">
        <v>22</v>
      </c>
      <c r="E15" s="4">
        <f t="shared" ca="1" si="0"/>
        <v>574567</v>
      </c>
      <c r="F15" s="5">
        <v>0.1</v>
      </c>
      <c r="G15" s="3" t="s">
        <v>13</v>
      </c>
      <c r="H15" s="3" t="s">
        <v>14</v>
      </c>
    </row>
    <row r="16" spans="1:8" x14ac:dyDescent="0.3">
      <c r="A16" s="3" t="s">
        <v>131</v>
      </c>
      <c r="B16" s="3" t="s">
        <v>139</v>
      </c>
      <c r="C16" s="3" t="s">
        <v>11</v>
      </c>
      <c r="D16" s="3" t="s">
        <v>12</v>
      </c>
      <c r="E16" s="4">
        <f t="shared" ca="1" si="0"/>
        <v>626860</v>
      </c>
      <c r="F16" s="5">
        <v>0.1</v>
      </c>
      <c r="G16" s="3" t="s">
        <v>13</v>
      </c>
      <c r="H16" s="3" t="s">
        <v>14</v>
      </c>
    </row>
    <row r="17" spans="1:8" x14ac:dyDescent="0.3">
      <c r="A17" s="3" t="s">
        <v>147</v>
      </c>
      <c r="B17" s="3" t="s">
        <v>148</v>
      </c>
      <c r="C17" s="3" t="s">
        <v>149</v>
      </c>
      <c r="D17" s="3" t="s">
        <v>140</v>
      </c>
      <c r="E17" s="4">
        <v>2400000</v>
      </c>
      <c r="F17" s="5">
        <v>0.5</v>
      </c>
      <c r="G17" s="3" t="s">
        <v>145</v>
      </c>
      <c r="H17" s="3" t="s">
        <v>14</v>
      </c>
    </row>
    <row r="18" spans="1:8" x14ac:dyDescent="0.3">
      <c r="A18" s="3"/>
      <c r="B18" s="3"/>
      <c r="C18" s="3"/>
      <c r="D18" s="3"/>
      <c r="E18" s="4"/>
      <c r="F18" s="3"/>
      <c r="G18" s="3"/>
      <c r="H18" s="3"/>
    </row>
    <row r="19" spans="1:8" x14ac:dyDescent="0.3">
      <c r="A19" s="3"/>
      <c r="B19" s="3"/>
      <c r="C19" s="3"/>
      <c r="D19" s="3"/>
      <c r="E19" s="4"/>
      <c r="F19" s="3"/>
      <c r="G19" s="3"/>
      <c r="H19" s="3"/>
    </row>
    <row r="20" spans="1:8" x14ac:dyDescent="0.3">
      <c r="A20" s="3"/>
      <c r="B20" s="3"/>
      <c r="C20" s="3"/>
      <c r="D20" s="3"/>
      <c r="E20" s="4"/>
      <c r="F20" s="3"/>
      <c r="G20" s="3"/>
      <c r="H20" s="3"/>
    </row>
    <row r="21" spans="1:8" x14ac:dyDescent="0.3">
      <c r="A21" s="3"/>
      <c r="B21" s="3"/>
      <c r="C21" s="3"/>
      <c r="D21" s="3"/>
      <c r="E21" s="4"/>
      <c r="F21" s="3"/>
      <c r="G21" s="3"/>
      <c r="H21" s="3"/>
    </row>
    <row r="22" spans="1:8" x14ac:dyDescent="0.3">
      <c r="A22" s="3"/>
      <c r="B22" s="3"/>
      <c r="C22" s="3"/>
      <c r="D22" s="3"/>
      <c r="E22" s="4"/>
      <c r="F22" s="3"/>
      <c r="G22" s="3"/>
      <c r="H22" s="3"/>
    </row>
    <row r="23" spans="1:8" x14ac:dyDescent="0.3">
      <c r="A23" s="3"/>
      <c r="B23" s="3"/>
      <c r="C23" s="3"/>
      <c r="D23" s="3"/>
      <c r="E23" s="3"/>
      <c r="F23" s="3"/>
      <c r="G23" s="3"/>
      <c r="H23" s="3"/>
    </row>
    <row r="76" spans="5:5" x14ac:dyDescent="0.3">
      <c r="E76" t="s">
        <v>150</v>
      </c>
    </row>
  </sheetData>
  <autoFilter ref="A3:H23" xr:uid="{00000000-0009-0000-0000-000000000000}"/>
  <mergeCells count="1">
    <mergeCell ref="A1:H1"/>
  </mergeCells>
  <phoneticPr fontId="12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6"/>
  <sheetViews>
    <sheetView showGridLines="0" workbookViewId="0">
      <selection activeCell="B3" sqref="B3"/>
    </sheetView>
  </sheetViews>
  <sheetFormatPr defaultRowHeight="14.4" x14ac:dyDescent="0.3"/>
  <cols>
    <col min="1" max="1" width="32" customWidth="1"/>
    <col min="2" max="2" width="40" customWidth="1"/>
  </cols>
  <sheetData>
    <row r="1" spans="1:3" ht="39.6" customHeight="1" x14ac:dyDescent="0.3">
      <c r="A1" s="33" t="s">
        <v>31</v>
      </c>
      <c r="B1" s="33"/>
      <c r="C1" s="33"/>
    </row>
    <row r="2" spans="1:3" x14ac:dyDescent="0.3">
      <c r="A2" s="1"/>
      <c r="B2" s="1"/>
    </row>
    <row r="3" spans="1:3" x14ac:dyDescent="0.3">
      <c r="A3" s="6" t="s">
        <v>32</v>
      </c>
      <c r="B3" s="3" t="s">
        <v>147</v>
      </c>
    </row>
    <row r="4" spans="1:3" x14ac:dyDescent="0.3">
      <c r="A4" s="1"/>
      <c r="B4" s="1"/>
    </row>
    <row r="5" spans="1:3" ht="15.6" x14ac:dyDescent="0.3">
      <c r="A5" s="7" t="s">
        <v>33</v>
      </c>
      <c r="B5" s="1"/>
    </row>
    <row r="6" spans="1:3" x14ac:dyDescent="0.3">
      <c r="A6" s="21" t="s">
        <v>2</v>
      </c>
      <c r="B6" s="13" t="str">
        <f>IFERROR(VLOOKUP($B$3,'01_Employee_Master'!$A$4:$H$23,2,FALSE),"Not Found")</f>
        <v>Pradyumna</v>
      </c>
    </row>
    <row r="7" spans="1:3" x14ac:dyDescent="0.3">
      <c r="A7" s="21" t="s">
        <v>3</v>
      </c>
      <c r="B7" s="13" t="str">
        <f>IFERROR(VLOOKUP($B$3,'01_Employee_Master'!$A$4:$H$23,3,FALSE),"Not Found")</f>
        <v>Shethphalkar</v>
      </c>
    </row>
    <row r="8" spans="1:3" x14ac:dyDescent="0.3">
      <c r="A8" s="21" t="s">
        <v>4</v>
      </c>
      <c r="B8" s="13" t="str">
        <f>IFERROR(VLOOKUP($B$3,'01_Employee_Master'!$A$4:$H$23,4,FALSE),"Not Found")</f>
        <v>Wealth Management</v>
      </c>
    </row>
    <row r="9" spans="1:3" x14ac:dyDescent="0.3">
      <c r="A9" s="21" t="s">
        <v>5</v>
      </c>
      <c r="B9" s="22">
        <f>IFERROR(VLOOKUP($B$3,'01_Employee_Master'!$A$4:$H$23,5,FALSE),0)</f>
        <v>2400000</v>
      </c>
    </row>
    <row r="10" spans="1:3" x14ac:dyDescent="0.3">
      <c r="A10" s="21" t="s">
        <v>6</v>
      </c>
      <c r="B10" s="23">
        <f>IFERROR(VLOOKUP($B$3,'01_Employee_Master'!$A$4:$H$23,6,FALSE),0)</f>
        <v>0.5</v>
      </c>
    </row>
    <row r="11" spans="1:3" x14ac:dyDescent="0.3">
      <c r="A11" s="21" t="s">
        <v>7</v>
      </c>
      <c r="B11" s="13" t="str">
        <f>IFERROR(VLOOKUP($B$3,'01_Employee_Master'!$A$4:$H$23,7,FALSE),"Not Found")</f>
        <v>April 2027</v>
      </c>
    </row>
    <row r="12" spans="1:3" x14ac:dyDescent="0.3">
      <c r="A12" s="21" t="s">
        <v>8</v>
      </c>
      <c r="B12" s="13" t="str">
        <f>IFERROR(VLOOKUP($B$3,'01_Employee_Master'!$A$4:$H$23,8,FALSE),"Not Found")</f>
        <v>Active</v>
      </c>
    </row>
    <row r="13" spans="1:3" x14ac:dyDescent="0.3">
      <c r="A13" s="19" t="s">
        <v>115</v>
      </c>
      <c r="B13" s="13">
        <f>B9-(B9*B10)</f>
        <v>1200000</v>
      </c>
    </row>
    <row r="14" spans="1:3" x14ac:dyDescent="0.3">
      <c r="A14" s="1"/>
      <c r="B14" s="1"/>
    </row>
    <row r="15" spans="1:3" x14ac:dyDescent="0.3">
      <c r="A15" s="1"/>
      <c r="B15" s="1"/>
    </row>
    <row r="16" spans="1:3" x14ac:dyDescent="0.3">
      <c r="A16" s="1"/>
      <c r="B16" s="1"/>
    </row>
  </sheetData>
  <mergeCells count="1">
    <mergeCell ref="A1:C1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1]!ValidateSelectedEmployee">
                <anchor moveWithCells="1" sizeWithCells="1">
                  <from>
                    <xdr:col>5</xdr:col>
                    <xdr:colOff>175260</xdr:colOff>
                    <xdr:row>4</xdr:row>
                    <xdr:rowOff>7620</xdr:rowOff>
                  </from>
                  <to>
                    <xdr:col>10</xdr:col>
                    <xdr:colOff>22860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1]!GenerateMonthlyPayslipPDF">
                <anchor moveWithCells="1" sizeWithCells="1">
                  <from>
                    <xdr:col>5</xdr:col>
                    <xdr:colOff>198120</xdr:colOff>
                    <xdr:row>9</xdr:row>
                    <xdr:rowOff>76200</xdr:rowOff>
                  </from>
                  <to>
                    <xdr:col>10</xdr:col>
                    <xdr:colOff>60960</xdr:colOff>
                    <xdr:row>12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1"/>
  <sheetViews>
    <sheetView showGridLines="0" workbookViewId="0">
      <selection activeCell="A14" sqref="A14"/>
    </sheetView>
  </sheetViews>
  <sheetFormatPr defaultRowHeight="14.4" x14ac:dyDescent="0.3"/>
  <cols>
    <col min="1" max="1" width="28" customWidth="1"/>
    <col min="2" max="2" width="16" customWidth="1"/>
    <col min="3" max="3" width="78" customWidth="1"/>
  </cols>
  <sheetData>
    <row r="1" spans="1:3" ht="39.6" customHeight="1" x14ac:dyDescent="0.3">
      <c r="A1" s="33" t="s">
        <v>34</v>
      </c>
      <c r="B1" s="33"/>
      <c r="C1" s="33"/>
    </row>
    <row r="2" spans="1:3" x14ac:dyDescent="0.3">
      <c r="A2" s="1"/>
      <c r="B2" s="1"/>
      <c r="C2" s="1"/>
    </row>
    <row r="3" spans="1:3" x14ac:dyDescent="0.3">
      <c r="A3" s="2" t="s">
        <v>35</v>
      </c>
      <c r="B3" s="2" t="s">
        <v>36</v>
      </c>
      <c r="C3" s="2" t="s">
        <v>37</v>
      </c>
    </row>
    <row r="4" spans="1:3" x14ac:dyDescent="0.3">
      <c r="A4" s="3" t="s">
        <v>6</v>
      </c>
      <c r="B4" s="5">
        <v>0.1</v>
      </c>
      <c r="C4" s="3" t="s">
        <v>38</v>
      </c>
    </row>
    <row r="5" spans="1:3" x14ac:dyDescent="0.3">
      <c r="A5" s="3" t="s">
        <v>39</v>
      </c>
      <c r="B5" s="5">
        <v>0.4</v>
      </c>
      <c r="C5" s="3" t="s">
        <v>40</v>
      </c>
    </row>
    <row r="6" spans="1:3" x14ac:dyDescent="0.3">
      <c r="A6" s="3" t="s">
        <v>41</v>
      </c>
      <c r="B6" s="5">
        <v>0.5</v>
      </c>
      <c r="C6" s="3" t="s">
        <v>40</v>
      </c>
    </row>
    <row r="7" spans="1:3" x14ac:dyDescent="0.3">
      <c r="A7" s="3" t="s">
        <v>42</v>
      </c>
      <c r="B7" s="5">
        <v>0.12</v>
      </c>
      <c r="C7" s="3" t="s">
        <v>43</v>
      </c>
    </row>
    <row r="8" spans="1:3" x14ac:dyDescent="0.3">
      <c r="A8" s="3" t="s">
        <v>44</v>
      </c>
      <c r="B8" s="5">
        <v>4.8099999999999997E-2</v>
      </c>
      <c r="C8" s="3" t="s">
        <v>45</v>
      </c>
    </row>
    <row r="9" spans="1:3" x14ac:dyDescent="0.3">
      <c r="A9" s="3" t="s">
        <v>46</v>
      </c>
      <c r="B9" s="5">
        <v>0.12</v>
      </c>
      <c r="C9" s="3" t="s">
        <v>47</v>
      </c>
    </row>
    <row r="10" spans="1:3" x14ac:dyDescent="0.3">
      <c r="A10" s="24" t="s">
        <v>121</v>
      </c>
      <c r="B10" s="25">
        <v>0</v>
      </c>
    </row>
    <row r="11" spans="1:3" x14ac:dyDescent="0.3">
      <c r="A11" s="24" t="s">
        <v>122</v>
      </c>
      <c r="B11" s="25">
        <v>0</v>
      </c>
    </row>
  </sheetData>
  <mergeCells count="1">
    <mergeCell ref="A1:C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0"/>
  <sheetViews>
    <sheetView showGridLines="0" workbookViewId="0">
      <selection activeCell="C21" sqref="C21"/>
    </sheetView>
  </sheetViews>
  <sheetFormatPr defaultRowHeight="14.4" x14ac:dyDescent="0.3"/>
  <cols>
    <col min="1" max="1" width="34" customWidth="1"/>
    <col min="2" max="3" width="18" style="12" customWidth="1"/>
    <col min="4" max="4" width="55" customWidth="1"/>
  </cols>
  <sheetData>
    <row r="1" spans="1:4" ht="19.8" x14ac:dyDescent="0.3">
      <c r="A1" s="33" t="s">
        <v>48</v>
      </c>
      <c r="B1" s="33"/>
      <c r="C1" s="33"/>
      <c r="D1" s="33"/>
    </row>
    <row r="2" spans="1:4" x14ac:dyDescent="0.3">
      <c r="A2" s="1"/>
      <c r="B2" s="9"/>
      <c r="C2" s="9"/>
      <c r="D2" s="1"/>
    </row>
    <row r="3" spans="1:4" x14ac:dyDescent="0.3">
      <c r="A3" s="2" t="s">
        <v>49</v>
      </c>
      <c r="B3" s="10" t="s">
        <v>50</v>
      </c>
      <c r="C3" s="10" t="s">
        <v>51</v>
      </c>
      <c r="D3" s="2" t="s">
        <v>52</v>
      </c>
    </row>
    <row r="4" spans="1:4" x14ac:dyDescent="0.3">
      <c r="A4" s="3" t="s">
        <v>53</v>
      </c>
      <c r="B4" s="11">
        <f>'02_Employee_Calculator'!B9</f>
        <v>2400000</v>
      </c>
      <c r="C4" s="11">
        <f t="shared" ref="C4:C16" si="0">B4/12</f>
        <v>200000</v>
      </c>
      <c r="D4" s="3" t="s">
        <v>54</v>
      </c>
    </row>
    <row r="5" spans="1:4" x14ac:dyDescent="0.3">
      <c r="A5" s="3" t="s">
        <v>55</v>
      </c>
      <c r="B5" s="11">
        <f>B4*'02_Employee_Calculator'!B10</f>
        <v>1200000</v>
      </c>
      <c r="C5" s="11">
        <f t="shared" si="0"/>
        <v>100000</v>
      </c>
      <c r="D5" s="3" t="s">
        <v>56</v>
      </c>
    </row>
    <row r="6" spans="1:4" x14ac:dyDescent="0.3">
      <c r="A6" s="3" t="s">
        <v>57</v>
      </c>
      <c r="B6" s="11">
        <f>B4-B5</f>
        <v>1200000</v>
      </c>
      <c r="C6" s="11">
        <f t="shared" si="0"/>
        <v>100000</v>
      </c>
      <c r="D6" s="3" t="s">
        <v>58</v>
      </c>
    </row>
    <row r="7" spans="1:4" x14ac:dyDescent="0.3">
      <c r="A7" s="3" t="s">
        <v>59</v>
      </c>
      <c r="B7" s="11">
        <f>B6*'03_Policy_Assumptions'!B5</f>
        <v>480000</v>
      </c>
      <c r="C7" s="11">
        <f t="shared" si="0"/>
        <v>40000</v>
      </c>
      <c r="D7" s="3" t="s">
        <v>60</v>
      </c>
    </row>
    <row r="8" spans="1:4" x14ac:dyDescent="0.3">
      <c r="A8" s="3" t="s">
        <v>61</v>
      </c>
      <c r="B8" s="11">
        <f>B7*'03_Policy_Assumptions'!B6</f>
        <v>240000</v>
      </c>
      <c r="C8" s="11">
        <f t="shared" si="0"/>
        <v>20000</v>
      </c>
      <c r="D8" s="3" t="s">
        <v>62</v>
      </c>
    </row>
    <row r="9" spans="1:4" x14ac:dyDescent="0.3">
      <c r="A9" s="3" t="s">
        <v>63</v>
      </c>
      <c r="B9" s="11">
        <f>B7*'03_Policy_Assumptions'!B7</f>
        <v>57600</v>
      </c>
      <c r="C9" s="11">
        <f t="shared" si="0"/>
        <v>4800</v>
      </c>
      <c r="D9" s="3" t="s">
        <v>64</v>
      </c>
    </row>
    <row r="10" spans="1:4" x14ac:dyDescent="0.3">
      <c r="A10" s="3" t="s">
        <v>65</v>
      </c>
      <c r="B10" s="11">
        <f>B7*'03_Policy_Assumptions'!B8</f>
        <v>23088</v>
      </c>
      <c r="C10" s="11">
        <f t="shared" si="0"/>
        <v>1924</v>
      </c>
      <c r="D10" s="3" t="s">
        <v>66</v>
      </c>
    </row>
    <row r="11" spans="1:4" x14ac:dyDescent="0.3">
      <c r="A11" s="3" t="s">
        <v>67</v>
      </c>
      <c r="B11" s="11">
        <f>B6-B7-B8-B9-B10</f>
        <v>399312</v>
      </c>
      <c r="C11" s="11">
        <f t="shared" si="0"/>
        <v>33276</v>
      </c>
      <c r="D11" s="3" t="s">
        <v>68</v>
      </c>
    </row>
    <row r="12" spans="1:4" x14ac:dyDescent="0.3">
      <c r="A12" s="3" t="s">
        <v>69</v>
      </c>
      <c r="B12" s="11">
        <f>B7+B8+B11</f>
        <v>1119312</v>
      </c>
      <c r="C12" s="11">
        <f t="shared" si="0"/>
        <v>93276</v>
      </c>
      <c r="D12" s="3" t="s">
        <v>70</v>
      </c>
    </row>
    <row r="13" spans="1:4" x14ac:dyDescent="0.3">
      <c r="A13" s="3" t="s">
        <v>71</v>
      </c>
      <c r="B13" s="11">
        <f>B7*'03_Policy_Assumptions'!B9</f>
        <v>57600</v>
      </c>
      <c r="C13" s="11">
        <f t="shared" si="0"/>
        <v>4800</v>
      </c>
      <c r="D13" s="3" t="s">
        <v>72</v>
      </c>
    </row>
    <row r="14" spans="1:4" x14ac:dyDescent="0.3">
      <c r="A14" s="3" t="s">
        <v>73</v>
      </c>
      <c r="B14" s="11">
        <f>B12-B13</f>
        <v>1061712</v>
      </c>
      <c r="C14" s="11">
        <f t="shared" si="0"/>
        <v>88476</v>
      </c>
      <c r="D14" s="3" t="s">
        <v>74</v>
      </c>
    </row>
    <row r="15" spans="1:4" x14ac:dyDescent="0.3">
      <c r="A15" s="3" t="s">
        <v>75</v>
      </c>
      <c r="B15" s="11">
        <f>B7+B8+B9+B10+B11+B5</f>
        <v>2400000</v>
      </c>
      <c r="C15" s="11">
        <f t="shared" si="0"/>
        <v>200000</v>
      </c>
      <c r="D15" s="3" t="s">
        <v>76</v>
      </c>
    </row>
    <row r="16" spans="1:4" x14ac:dyDescent="0.3">
      <c r="A16" s="3" t="s">
        <v>77</v>
      </c>
      <c r="B16" s="11">
        <f>B4-B15</f>
        <v>0</v>
      </c>
      <c r="C16" s="11">
        <f t="shared" si="0"/>
        <v>0</v>
      </c>
      <c r="D16" s="3" t="s">
        <v>78</v>
      </c>
    </row>
    <row r="17" spans="1:3" x14ac:dyDescent="0.3">
      <c r="A17" s="26" t="s">
        <v>123</v>
      </c>
      <c r="B17" s="27">
        <f>'03_Policy_Assumptions'!B10*12</f>
        <v>0</v>
      </c>
      <c r="C17" s="27">
        <f>'03_Policy_Assumptions'!C10</f>
        <v>0</v>
      </c>
    </row>
    <row r="18" spans="1:3" x14ac:dyDescent="0.3">
      <c r="A18" s="26" t="s">
        <v>118</v>
      </c>
      <c r="B18" s="27">
        <f>'03_Policy_Assumptions'!B11*12</f>
        <v>0</v>
      </c>
      <c r="C18" s="27">
        <f>'03_Policy_Assumptions'!C11</f>
        <v>0</v>
      </c>
    </row>
    <row r="19" spans="1:3" x14ac:dyDescent="0.3">
      <c r="A19" s="28" t="s">
        <v>119</v>
      </c>
      <c r="B19" s="29">
        <f>B13+B16+B17</f>
        <v>57600</v>
      </c>
      <c r="C19" s="29">
        <f>C13+C16+C17</f>
        <v>4800</v>
      </c>
    </row>
    <row r="20" spans="1:3" x14ac:dyDescent="0.3">
      <c r="A20" s="30" t="s">
        <v>120</v>
      </c>
      <c r="B20" s="31">
        <f>B12-B19</f>
        <v>1061712</v>
      </c>
      <c r="C20" s="31">
        <f>C12-C19</f>
        <v>88476</v>
      </c>
    </row>
  </sheetData>
  <mergeCells count="1">
    <mergeCell ref="A1:D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8"/>
  <sheetViews>
    <sheetView showGridLines="0" workbookViewId="0">
      <selection activeCell="C13" sqref="C13"/>
    </sheetView>
  </sheetViews>
  <sheetFormatPr defaultRowHeight="14.4" x14ac:dyDescent="0.3"/>
  <cols>
    <col min="1" max="1" width="38" customWidth="1"/>
    <col min="2" max="2" width="16" customWidth="1"/>
    <col min="3" max="3" width="70" customWidth="1"/>
  </cols>
  <sheetData>
    <row r="1" spans="1:3" ht="19.8" x14ac:dyDescent="0.3">
      <c r="A1" s="33" t="s">
        <v>79</v>
      </c>
      <c r="B1" s="33"/>
      <c r="C1" s="33"/>
    </row>
    <row r="2" spans="1:3" ht="14.4" customHeight="1" x14ac:dyDescent="0.3">
      <c r="A2" s="1"/>
      <c r="B2" s="1"/>
      <c r="C2" s="1"/>
    </row>
    <row r="3" spans="1:3" x14ac:dyDescent="0.3">
      <c r="A3" s="2" t="s">
        <v>80</v>
      </c>
      <c r="B3" s="2" t="s">
        <v>81</v>
      </c>
      <c r="C3" s="2" t="s">
        <v>82</v>
      </c>
    </row>
    <row r="4" spans="1:3" x14ac:dyDescent="0.3">
      <c r="A4" s="3" t="s">
        <v>83</v>
      </c>
      <c r="B4" s="3" t="str">
        <f>IF(COUNTIF('01_Employee_Master'!$A$4:$A$23,'02_Employee_Calculator'!B3)=1,"PASS","FAIL")</f>
        <v>PASS</v>
      </c>
      <c r="C4" s="3" t="s">
        <v>84</v>
      </c>
    </row>
    <row r="5" spans="1:3" x14ac:dyDescent="0.3">
      <c r="A5" s="3" t="s">
        <v>85</v>
      </c>
      <c r="B5" s="3" t="str">
        <f>IF('04_Salary_Engine'!B4&gt;0,"PASS","FAIL")</f>
        <v>PASS</v>
      </c>
      <c r="C5" s="3" t="s">
        <v>86</v>
      </c>
    </row>
    <row r="6" spans="1:3" x14ac:dyDescent="0.3">
      <c r="A6" s="3" t="s">
        <v>87</v>
      </c>
      <c r="B6" s="3" t="str">
        <f>IF(AND('02_Employee_Calculator'!B10&gt;=0,'02_Employee_Calculator'!B10&lt;=1),"PASS","FAIL")</f>
        <v>PASS</v>
      </c>
      <c r="C6" s="3" t="s">
        <v>88</v>
      </c>
    </row>
    <row r="7" spans="1:3" x14ac:dyDescent="0.3">
      <c r="A7" s="3" t="s">
        <v>89</v>
      </c>
      <c r="B7" s="3" t="str">
        <f>IF('04_Salary_Engine'!B11&gt;=0,"PASS","FAIL")</f>
        <v>PASS</v>
      </c>
      <c r="C7" s="3" t="s">
        <v>90</v>
      </c>
    </row>
    <row r="8" spans="1:3" x14ac:dyDescent="0.3">
      <c r="A8" s="3" t="s">
        <v>91</v>
      </c>
      <c r="B8" s="3" t="str">
        <f>IF(ABS('04_Salary_Engine'!B16)&lt;0.01,"PASS","FAIL")</f>
        <v>PASS</v>
      </c>
      <c r="C8" s="3" t="s">
        <v>92</v>
      </c>
    </row>
  </sheetData>
  <mergeCells count="1">
    <mergeCell ref="A1:C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D3737-B84B-46FD-9782-2970B93CF2F1}">
  <sheetPr codeName="Sheet6"/>
  <dimension ref="A1:F21"/>
  <sheetViews>
    <sheetView workbookViewId="0">
      <selection activeCell="B4" sqref="B4"/>
    </sheetView>
  </sheetViews>
  <sheetFormatPr defaultRowHeight="14.4" x14ac:dyDescent="0.3"/>
  <cols>
    <col min="1" max="1" width="23.77734375" customWidth="1"/>
    <col min="2" max="2" width="17.6640625" bestFit="1" customWidth="1"/>
    <col min="3" max="3" width="10.44140625" bestFit="1" customWidth="1"/>
    <col min="4" max="4" width="9.109375" bestFit="1" customWidth="1"/>
  </cols>
  <sheetData>
    <row r="1" spans="1:6" ht="19.8" customHeight="1" x14ac:dyDescent="0.3">
      <c r="A1" s="34" t="s">
        <v>105</v>
      </c>
      <c r="B1" s="33"/>
      <c r="C1" s="33"/>
      <c r="D1" s="33"/>
      <c r="E1" s="33"/>
      <c r="F1" s="33"/>
    </row>
    <row r="2" spans="1:6" x14ac:dyDescent="0.3">
      <c r="A2" s="33"/>
      <c r="B2" s="33"/>
      <c r="C2" s="33"/>
      <c r="D2" s="33"/>
      <c r="E2" s="33"/>
      <c r="F2" s="33"/>
    </row>
    <row r="4" spans="1:6" ht="28.8" customHeight="1" x14ac:dyDescent="0.3">
      <c r="A4" s="18" t="s">
        <v>1</v>
      </c>
      <c r="B4" t="str">
        <f>'02_Employee_Calculator'!B3</f>
        <v>EMP014</v>
      </c>
      <c r="D4" s="18" t="s">
        <v>7</v>
      </c>
      <c r="E4" t="str">
        <f>'02_Employee_Calculator'!B11</f>
        <v>April 2027</v>
      </c>
    </row>
    <row r="5" spans="1:6" ht="28.8" x14ac:dyDescent="0.3">
      <c r="A5" s="18" t="s">
        <v>2</v>
      </c>
      <c r="B5" t="str">
        <f>'02_Employee_Calculator'!B6</f>
        <v>Pradyumna</v>
      </c>
      <c r="D5" s="18" t="s">
        <v>5</v>
      </c>
      <c r="E5" s="1">
        <f>'02_Employee_Calculator'!B9</f>
        <v>2400000</v>
      </c>
    </row>
    <row r="6" spans="1:6" ht="28.8" customHeight="1" x14ac:dyDescent="0.3">
      <c r="A6" s="18" t="s">
        <v>3</v>
      </c>
      <c r="B6" t="str">
        <f>'02_Employee_Calculator'!B7</f>
        <v>Shethphalkar</v>
      </c>
      <c r="D6" s="18" t="s">
        <v>8</v>
      </c>
      <c r="E6" s="1" t="str">
        <f>'02_Employee_Calculator'!B12</f>
        <v>Active</v>
      </c>
    </row>
    <row r="7" spans="1:6" x14ac:dyDescent="0.3">
      <c r="A7" s="18" t="s">
        <v>4</v>
      </c>
      <c r="B7" t="str">
        <f>'02_Employee_Calculator'!B8</f>
        <v>Wealth Management</v>
      </c>
    </row>
    <row r="8" spans="1:6" x14ac:dyDescent="0.3">
      <c r="A8" s="1"/>
      <c r="B8" s="1"/>
      <c r="C8" s="1"/>
      <c r="D8" s="1"/>
    </row>
    <row r="9" spans="1:6" ht="28.8" x14ac:dyDescent="0.3">
      <c r="A9" s="19" t="s">
        <v>106</v>
      </c>
      <c r="B9" s="19" t="s">
        <v>50</v>
      </c>
      <c r="C9" s="19" t="s">
        <v>51</v>
      </c>
      <c r="D9" s="19" t="s">
        <v>107</v>
      </c>
    </row>
    <row r="10" spans="1:6" x14ac:dyDescent="0.3">
      <c r="A10" s="19" t="s">
        <v>59</v>
      </c>
      <c r="B10" s="14">
        <f>'04_Salary_Engine'!B7</f>
        <v>480000</v>
      </c>
      <c r="C10" s="14">
        <f>'04_Salary_Engine'!C7</f>
        <v>40000</v>
      </c>
      <c r="D10" s="13" t="s">
        <v>108</v>
      </c>
    </row>
    <row r="11" spans="1:6" x14ac:dyDescent="0.3">
      <c r="A11" s="19" t="s">
        <v>61</v>
      </c>
      <c r="B11" s="14">
        <f>'04_Salary_Engine'!B8</f>
        <v>240000</v>
      </c>
      <c r="C11" s="14">
        <f>'04_Salary_Engine'!C8</f>
        <v>20000</v>
      </c>
      <c r="D11" s="13" t="s">
        <v>108</v>
      </c>
    </row>
    <row r="12" spans="1:6" x14ac:dyDescent="0.3">
      <c r="A12" s="19" t="s">
        <v>67</v>
      </c>
      <c r="B12" s="14">
        <f>'04_Salary_Engine'!B11</f>
        <v>399312</v>
      </c>
      <c r="C12" s="14">
        <f>'04_Salary_Engine'!C11</f>
        <v>33276</v>
      </c>
      <c r="D12" s="13" t="s">
        <v>108</v>
      </c>
    </row>
    <row r="13" spans="1:6" x14ac:dyDescent="0.3">
      <c r="A13" s="19" t="s">
        <v>69</v>
      </c>
      <c r="B13" s="14">
        <f>'04_Salary_Engine'!B12</f>
        <v>1119312</v>
      </c>
      <c r="C13" s="14">
        <f>'04_Salary_Engine'!C12</f>
        <v>93276</v>
      </c>
      <c r="D13" s="13" t="s">
        <v>108</v>
      </c>
    </row>
    <row r="14" spans="1:6" ht="28.8" x14ac:dyDescent="0.3">
      <c r="A14" s="19" t="s">
        <v>63</v>
      </c>
      <c r="B14" s="14">
        <f>'04_Salary_Engine'!B13</f>
        <v>57600</v>
      </c>
      <c r="C14" s="14">
        <f>'04_Salary_Engine'!C9</f>
        <v>4800</v>
      </c>
      <c r="D14" s="13" t="s">
        <v>109</v>
      </c>
    </row>
    <row r="15" spans="1:6" ht="28.8" x14ac:dyDescent="0.3">
      <c r="A15" s="19" t="s">
        <v>65</v>
      </c>
      <c r="B15" s="14">
        <f>'04_Salary_Engine'!B10</f>
        <v>23088</v>
      </c>
      <c r="C15" s="14">
        <f>'04_Salary_Engine'!C10</f>
        <v>1924</v>
      </c>
      <c r="D15" s="13" t="s">
        <v>109</v>
      </c>
    </row>
    <row r="16" spans="1:6" x14ac:dyDescent="0.3">
      <c r="A16" s="19" t="s">
        <v>55</v>
      </c>
      <c r="B16" s="14">
        <f>'04_Salary_Engine'!B5</f>
        <v>1200000</v>
      </c>
      <c r="C16" s="14">
        <f>'04_Salary_Engine'!C5</f>
        <v>100000</v>
      </c>
      <c r="D16" s="13" t="s">
        <v>110</v>
      </c>
    </row>
    <row r="17" spans="1:4" x14ac:dyDescent="0.3">
      <c r="A17" s="19" t="s">
        <v>53</v>
      </c>
      <c r="B17" s="14">
        <f>'04_Salary_Engine'!B4</f>
        <v>2400000</v>
      </c>
      <c r="C17" s="14">
        <f>'04_Salary_Engine'!C4</f>
        <v>200000</v>
      </c>
      <c r="D17" s="13" t="s">
        <v>111</v>
      </c>
    </row>
    <row r="19" spans="1:4" ht="21" x14ac:dyDescent="0.4">
      <c r="A19" s="15" t="s">
        <v>112</v>
      </c>
    </row>
    <row r="20" spans="1:4" x14ac:dyDescent="0.3">
      <c r="A20" s="20" t="s">
        <v>77</v>
      </c>
      <c r="B20" s="17">
        <f>'04_Salary_Engine'!B16</f>
        <v>0</v>
      </c>
    </row>
    <row r="21" spans="1:4" x14ac:dyDescent="0.3">
      <c r="A21" s="20" t="s">
        <v>113</v>
      </c>
      <c r="B21" s="16" t="str">
        <f>'05_Validation_Audit'!B8</f>
        <v>PASS</v>
      </c>
    </row>
  </sheetData>
  <mergeCells count="1">
    <mergeCell ref="A1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Module1.GenerateCTCStatement">
                <anchor moveWithCells="1" sizeWithCells="1">
                  <from>
                    <xdr:col>6</xdr:col>
                    <xdr:colOff>495300</xdr:colOff>
                    <xdr:row>6</xdr:row>
                    <xdr:rowOff>53340</xdr:rowOff>
                  </from>
                  <to>
                    <xdr:col>12</xdr:col>
                    <xdr:colOff>335280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B8"/>
  <sheetViews>
    <sheetView showGridLines="0" workbookViewId="0">
      <selection sqref="A1:B1"/>
    </sheetView>
  </sheetViews>
  <sheetFormatPr defaultRowHeight="14.4" x14ac:dyDescent="0.3"/>
  <cols>
    <col min="1" max="1" width="28" customWidth="1"/>
    <col min="2" max="2" width="100" customWidth="1"/>
  </cols>
  <sheetData>
    <row r="1" spans="1:2" ht="39.6" customHeight="1" x14ac:dyDescent="0.3">
      <c r="A1" s="33" t="s">
        <v>93</v>
      </c>
      <c r="B1" s="33"/>
    </row>
    <row r="2" spans="1:2" x14ac:dyDescent="0.3">
      <c r="A2" s="1"/>
      <c r="B2" s="1"/>
    </row>
    <row r="3" spans="1:2" x14ac:dyDescent="0.3">
      <c r="A3" s="8" t="s">
        <v>94</v>
      </c>
      <c r="B3" s="3" t="s">
        <v>95</v>
      </c>
    </row>
    <row r="4" spans="1:2" x14ac:dyDescent="0.3">
      <c r="A4" s="8" t="s">
        <v>96</v>
      </c>
      <c r="B4" s="3" t="s">
        <v>97</v>
      </c>
    </row>
    <row r="5" spans="1:2" x14ac:dyDescent="0.3">
      <c r="A5" s="8" t="s">
        <v>55</v>
      </c>
      <c r="B5" s="3" t="s">
        <v>98</v>
      </c>
    </row>
    <row r="6" spans="1:2" x14ac:dyDescent="0.3">
      <c r="A6" s="8" t="s">
        <v>99</v>
      </c>
      <c r="B6" s="3" t="s">
        <v>100</v>
      </c>
    </row>
    <row r="7" spans="1:2" x14ac:dyDescent="0.3">
      <c r="A7" s="8" t="s">
        <v>101</v>
      </c>
      <c r="B7" s="3" t="s">
        <v>102</v>
      </c>
    </row>
    <row r="8" spans="1:2" x14ac:dyDescent="0.3">
      <c r="A8" s="8" t="s">
        <v>103</v>
      </c>
      <c r="B8" s="3" t="s">
        <v>104</v>
      </c>
    </row>
  </sheetData>
  <mergeCells count="1">
    <mergeCell ref="A1:B1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32A88-5D43-45A9-B115-8ADA3E885381}">
  <sheetPr codeName="Sheet8"/>
  <dimension ref="A1:F14"/>
  <sheetViews>
    <sheetView workbookViewId="0">
      <selection sqref="A1:F2"/>
    </sheetView>
  </sheetViews>
  <sheetFormatPr defaultRowHeight="14.4" x14ac:dyDescent="0.3"/>
  <cols>
    <col min="1" max="1" width="12" customWidth="1"/>
    <col min="2" max="2" width="17.6640625" bestFit="1" customWidth="1"/>
    <col min="4" max="4" width="15.33203125" bestFit="1" customWidth="1"/>
    <col min="5" max="5" width="15.6640625" bestFit="1" customWidth="1"/>
  </cols>
  <sheetData>
    <row r="1" spans="1:6" x14ac:dyDescent="0.3">
      <c r="A1" s="34" t="s">
        <v>114</v>
      </c>
      <c r="B1" s="33"/>
      <c r="C1" s="33"/>
      <c r="D1" s="33"/>
      <c r="E1" s="33"/>
      <c r="F1" s="33"/>
    </row>
    <row r="2" spans="1:6" x14ac:dyDescent="0.3">
      <c r="A2" s="33"/>
      <c r="B2" s="33"/>
      <c r="C2" s="33"/>
      <c r="D2" s="33"/>
      <c r="E2" s="33"/>
      <c r="F2" s="33"/>
    </row>
    <row r="4" spans="1:6" ht="28.8" customHeight="1" x14ac:dyDescent="0.3">
      <c r="A4" s="19" t="s">
        <v>1</v>
      </c>
      <c r="B4" s="16" t="str">
        <f>'02_Employee_Calculator'!B3</f>
        <v>EMP014</v>
      </c>
      <c r="D4" s="19" t="s">
        <v>7</v>
      </c>
      <c r="E4" s="16" t="str">
        <f>'02_Employee_Calculator'!B11</f>
        <v>April 2027</v>
      </c>
    </row>
    <row r="5" spans="1:6" ht="28.8" x14ac:dyDescent="0.3">
      <c r="A5" s="19" t="s">
        <v>2</v>
      </c>
      <c r="B5" s="16" t="str">
        <f>'02_Employee_Calculator'!B6</f>
        <v>Pradyumna</v>
      </c>
      <c r="D5" s="19" t="s">
        <v>115</v>
      </c>
      <c r="E5" s="14">
        <f>'02_Employee_Calculator'!B13</f>
        <v>1200000</v>
      </c>
    </row>
    <row r="6" spans="1:6" ht="28.8" customHeight="1" x14ac:dyDescent="0.3">
      <c r="A6" s="19" t="s">
        <v>3</v>
      </c>
      <c r="B6" s="16" t="str">
        <f>'02_Employee_Calculator'!B7</f>
        <v>Shethphalkar</v>
      </c>
      <c r="D6" s="19" t="s">
        <v>8</v>
      </c>
      <c r="E6" s="13" t="str">
        <f>'02_Employee_Calculator'!B12</f>
        <v>Active</v>
      </c>
    </row>
    <row r="7" spans="1:6" x14ac:dyDescent="0.3">
      <c r="A7" s="19" t="s">
        <v>4</v>
      </c>
      <c r="B7" s="16" t="str">
        <f>'02_Employee_Calculator'!B8</f>
        <v>Wealth Management</v>
      </c>
      <c r="D7" s="35"/>
      <c r="E7" s="35"/>
    </row>
    <row r="9" spans="1:6" x14ac:dyDescent="0.3">
      <c r="A9" s="20" t="s">
        <v>116</v>
      </c>
      <c r="B9" s="20"/>
      <c r="C9" s="32"/>
      <c r="D9" s="20" t="s">
        <v>117</v>
      </c>
      <c r="E9" s="16"/>
    </row>
    <row r="10" spans="1:6" x14ac:dyDescent="0.3">
      <c r="A10" s="20" t="s">
        <v>49</v>
      </c>
      <c r="B10" s="20" t="s">
        <v>51</v>
      </c>
      <c r="D10" s="20" t="s">
        <v>49</v>
      </c>
      <c r="E10" s="20" t="s">
        <v>51</v>
      </c>
    </row>
    <row r="11" spans="1:6" x14ac:dyDescent="0.3">
      <c r="A11" s="16" t="s">
        <v>59</v>
      </c>
      <c r="B11" s="17">
        <f>'04_Salary_Engine'!C7</f>
        <v>40000</v>
      </c>
      <c r="D11" s="16" t="s">
        <v>71</v>
      </c>
      <c r="E11" s="17">
        <f>'04_Salary_Engine'!C9</f>
        <v>4800</v>
      </c>
    </row>
    <row r="12" spans="1:6" x14ac:dyDescent="0.3">
      <c r="A12" s="16" t="s">
        <v>61</v>
      </c>
      <c r="B12" s="17">
        <f>'04_Salary_Engine'!C8</f>
        <v>20000</v>
      </c>
      <c r="D12" s="16" t="s">
        <v>118</v>
      </c>
      <c r="E12" s="17">
        <f>'04_Salary_Engine'!C18</f>
        <v>0</v>
      </c>
    </row>
    <row r="13" spans="1:6" x14ac:dyDescent="0.3">
      <c r="A13" s="16" t="s">
        <v>67</v>
      </c>
      <c r="B13" s="17">
        <f>'04_Salary_Engine'!C11</f>
        <v>33276</v>
      </c>
      <c r="D13" s="16" t="s">
        <v>119</v>
      </c>
      <c r="E13" s="17">
        <f>'04_Salary_Engine'!C19</f>
        <v>4800</v>
      </c>
    </row>
    <row r="14" spans="1:6" x14ac:dyDescent="0.3">
      <c r="A14" s="16" t="s">
        <v>69</v>
      </c>
      <c r="B14" s="17">
        <f>'04_Salary_Engine'!C12</f>
        <v>93276</v>
      </c>
      <c r="D14" s="16" t="s">
        <v>120</v>
      </c>
      <c r="E14" s="17">
        <f>'04_Salary_Engine'!C20</f>
        <v>88476</v>
      </c>
    </row>
  </sheetData>
  <mergeCells count="1">
    <mergeCell ref="A1:F2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5862-586D-4DB2-B819-70B8DB1C9CD2}">
  <sheetPr codeName="Sheet9"/>
  <dimension ref="A1:M29"/>
  <sheetViews>
    <sheetView workbookViewId="0">
      <selection activeCell="A4" sqref="A4:K4"/>
    </sheetView>
  </sheetViews>
  <sheetFormatPr defaultRowHeight="14.4" x14ac:dyDescent="0.3"/>
  <cols>
    <col min="1" max="1" width="8" bestFit="1" customWidth="1"/>
    <col min="2" max="2" width="11.44140625" bestFit="1" customWidth="1"/>
    <col min="3" max="3" width="9.21875" bestFit="1" customWidth="1"/>
    <col min="4" max="4" width="19.6640625" bestFit="1" customWidth="1"/>
    <col min="5" max="5" width="12.88671875" bestFit="1" customWidth="1"/>
    <col min="6" max="6" width="8.6640625" bestFit="1" customWidth="1"/>
    <col min="7" max="7" width="11.88671875" bestFit="1" customWidth="1"/>
    <col min="8" max="8" width="12.88671875" bestFit="1" customWidth="1"/>
    <col min="9" max="9" width="11.88671875" bestFit="1" customWidth="1"/>
    <col min="10" max="10" width="7.77734375" bestFit="1" customWidth="1"/>
    <col min="11" max="11" width="24.21875" bestFit="1" customWidth="1"/>
  </cols>
  <sheetData>
    <row r="1" spans="1:13" ht="14.4" customHeight="1" x14ac:dyDescent="0.3">
      <c r="A1" s="39" t="s">
        <v>114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</row>
    <row r="2" spans="1:13" ht="14.4" customHeight="1" x14ac:dyDescent="0.3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</row>
    <row r="4" spans="1:13" ht="28.8" x14ac:dyDescent="0.3">
      <c r="A4" s="19" t="s">
        <v>1</v>
      </c>
      <c r="B4" s="19" t="s">
        <v>2</v>
      </c>
      <c r="C4" s="19" t="s">
        <v>3</v>
      </c>
      <c r="D4" s="19" t="s">
        <v>4</v>
      </c>
      <c r="E4" s="19" t="s">
        <v>151</v>
      </c>
      <c r="F4" s="19" t="s">
        <v>152</v>
      </c>
      <c r="G4" s="19" t="s">
        <v>153</v>
      </c>
      <c r="H4" s="19" t="s">
        <v>154</v>
      </c>
      <c r="I4" s="19" t="s">
        <v>155</v>
      </c>
      <c r="J4" s="19" t="s">
        <v>156</v>
      </c>
      <c r="K4" s="19" t="s">
        <v>157</v>
      </c>
      <c r="L4" s="35"/>
      <c r="M4" s="35"/>
    </row>
    <row r="5" spans="1:13" x14ac:dyDescent="0.3">
      <c r="A5" s="13" t="str">
        <f>IF('01_Employee_Master'!A4="","",'01_Employee_Master'!A4)</f>
        <v>EMP001</v>
      </c>
      <c r="B5" s="13" t="str">
        <f>IF('01_Employee_Master'!B4="","",'01_Employee_Master'!B4)</f>
        <v>Aarav Mehta</v>
      </c>
      <c r="C5" s="16" t="str">
        <f>IF('01_Employee_Master'!C4="","",'01_Employee_Master'!C4)</f>
        <v>HR</v>
      </c>
      <c r="D5" s="16" t="str">
        <f>IF('01_Employee_Master'!D4="","",'01_Employee_Master'!D4)</f>
        <v>HR Analyst</v>
      </c>
      <c r="E5" s="36">
        <f>IF('01_Employee_Master'!E4="","",'01_Employee_Master'!E4)</f>
        <v>600000</v>
      </c>
      <c r="F5" s="37">
        <v>7.0000000000000007E-2</v>
      </c>
      <c r="G5" s="36">
        <f>E5*F5</f>
        <v>42000.000000000007</v>
      </c>
      <c r="H5" s="36">
        <f>E5+G5</f>
        <v>642000</v>
      </c>
      <c r="I5" s="36">
        <f>H5/12</f>
        <v>53500</v>
      </c>
      <c r="J5" s="16" t="s">
        <v>158</v>
      </c>
      <c r="K5" s="16" t="s">
        <v>159</v>
      </c>
      <c r="L5" s="35"/>
      <c r="M5" s="35"/>
    </row>
    <row r="6" spans="1:13" ht="28.8" x14ac:dyDescent="0.3">
      <c r="A6" s="13" t="str">
        <f>IF('01_Employee_Master'!A5="","",'01_Employee_Master'!A5)</f>
        <v>EMP002</v>
      </c>
      <c r="B6" s="13" t="str">
        <f>IF('01_Employee_Master'!B5="","",'01_Employee_Master'!B5)</f>
        <v>Riya Shah</v>
      </c>
      <c r="C6" s="16" t="str">
        <f>IF('01_Employee_Master'!C5="","",'01_Employee_Master'!C5)</f>
        <v>Finance</v>
      </c>
      <c r="D6" s="16" t="str">
        <f>IF('01_Employee_Master'!D5="","",'01_Employee_Master'!D5)</f>
        <v>Financial Analyst</v>
      </c>
      <c r="E6" s="36">
        <f>IF('01_Employee_Master'!E5="","",'01_Employee_Master'!E5)</f>
        <v>720000</v>
      </c>
      <c r="F6" s="37">
        <v>7.0000000000000007E-2</v>
      </c>
      <c r="G6" s="36">
        <f t="shared" ref="G6:G19" si="0">E6*F6</f>
        <v>50400.000000000007</v>
      </c>
      <c r="H6" s="36">
        <f t="shared" ref="H6:H19" si="1">E6+G6</f>
        <v>770400</v>
      </c>
      <c r="I6" s="36">
        <f t="shared" ref="I6:I19" si="2">H6/12</f>
        <v>64200</v>
      </c>
      <c r="J6" s="16" t="s">
        <v>158</v>
      </c>
      <c r="K6" s="16" t="s">
        <v>159</v>
      </c>
      <c r="L6" s="35"/>
      <c r="M6" s="35"/>
    </row>
    <row r="7" spans="1:13" ht="28.8" x14ac:dyDescent="0.3">
      <c r="A7" s="13" t="str">
        <f>IF('01_Employee_Master'!A6="","",'01_Employee_Master'!A6)</f>
        <v>EMP003</v>
      </c>
      <c r="B7" s="13" t="str">
        <f>IF('01_Employee_Master'!B6="","",'01_Employee_Master'!B6)</f>
        <v>Kabir Joshi</v>
      </c>
      <c r="C7" s="16" t="str">
        <f>IF('01_Employee_Master'!C6="","",'01_Employee_Master'!C6)</f>
        <v>Sales</v>
      </c>
      <c r="D7" s="16" t="str">
        <f>IF('01_Employee_Master'!D6="","",'01_Employee_Master'!D6)</f>
        <v>Sales Executive</v>
      </c>
      <c r="E7" s="36">
        <f>IF('01_Employee_Master'!E6="","",'01_Employee_Master'!E6)</f>
        <v>480000</v>
      </c>
      <c r="F7" s="37">
        <v>7.0000000000000007E-2</v>
      </c>
      <c r="G7" s="36">
        <f t="shared" si="0"/>
        <v>33600</v>
      </c>
      <c r="H7" s="36">
        <f t="shared" si="1"/>
        <v>513600</v>
      </c>
      <c r="I7" s="36">
        <f t="shared" si="2"/>
        <v>42800</v>
      </c>
      <c r="J7" s="16" t="s">
        <v>158</v>
      </c>
      <c r="K7" s="16" t="s">
        <v>159</v>
      </c>
      <c r="L7" s="35"/>
      <c r="M7" s="35"/>
    </row>
    <row r="8" spans="1:13" ht="28.8" x14ac:dyDescent="0.3">
      <c r="A8" s="13" t="str">
        <f>IF('01_Employee_Master'!A7="","",'01_Employee_Master'!A7)</f>
        <v>EMP004</v>
      </c>
      <c r="B8" s="13" t="str">
        <f>IF('01_Employee_Master'!B7="","",'01_Employee_Master'!B7)</f>
        <v>Meera Iyer</v>
      </c>
      <c r="C8" s="16" t="str">
        <f>IF('01_Employee_Master'!C7="","",'01_Employee_Master'!C7)</f>
        <v>IT</v>
      </c>
      <c r="D8" s="16" t="str">
        <f>IF('01_Employee_Master'!D7="","",'01_Employee_Master'!D7)</f>
        <v>Data Analyst</v>
      </c>
      <c r="E8" s="36">
        <f>IF('01_Employee_Master'!E7="","",'01_Employee_Master'!E7)</f>
        <v>900000</v>
      </c>
      <c r="F8" s="37">
        <v>7.0000000000000007E-2</v>
      </c>
      <c r="G8" s="36">
        <f t="shared" si="0"/>
        <v>63000.000000000007</v>
      </c>
      <c r="H8" s="36">
        <f t="shared" si="1"/>
        <v>963000</v>
      </c>
      <c r="I8" s="36">
        <f t="shared" si="2"/>
        <v>80250</v>
      </c>
      <c r="J8" s="16" t="s">
        <v>158</v>
      </c>
      <c r="K8" s="16" t="s">
        <v>159</v>
      </c>
      <c r="L8" s="35"/>
      <c r="M8" s="35"/>
    </row>
    <row r="9" spans="1:13" ht="28.8" x14ac:dyDescent="0.3">
      <c r="A9" s="13" t="str">
        <f>IF('01_Employee_Master'!A8="","",'01_Employee_Master'!A8)</f>
        <v>EMP005</v>
      </c>
      <c r="B9" s="13" t="str">
        <f>IF('01_Employee_Master'!B8="","",'01_Employee_Master'!B8)</f>
        <v>Vivaan Rao</v>
      </c>
      <c r="C9" s="16" t="str">
        <f>IF('01_Employee_Master'!C8="","",'01_Employee_Master'!C8)</f>
        <v>Marketing</v>
      </c>
      <c r="D9" s="16" t="str">
        <f>IF('01_Employee_Master'!D8="","",'01_Employee_Master'!D8)</f>
        <v>Marketing Executive</v>
      </c>
      <c r="E9" s="36">
        <f>IF('01_Employee_Master'!E8="","",'01_Employee_Master'!E8)</f>
        <v>540000</v>
      </c>
      <c r="F9" s="37">
        <v>0.1</v>
      </c>
      <c r="G9" s="36">
        <f t="shared" si="0"/>
        <v>54000</v>
      </c>
      <c r="H9" s="36">
        <f t="shared" si="1"/>
        <v>594000</v>
      </c>
      <c r="I9" s="36">
        <f t="shared" si="2"/>
        <v>49500</v>
      </c>
      <c r="J9" s="16" t="s">
        <v>158</v>
      </c>
      <c r="K9" s="16" t="s">
        <v>159</v>
      </c>
      <c r="L9" s="35"/>
      <c r="M9" s="35"/>
    </row>
    <row r="10" spans="1:13" ht="28.8" x14ac:dyDescent="0.3">
      <c r="A10" s="13" t="str">
        <f>IF('01_Employee_Master'!A9="","",'01_Employee_Master'!A9)</f>
        <v>EMP006</v>
      </c>
      <c r="B10" s="13" t="str">
        <f>IF('01_Employee_Master'!B9="","",'01_Employee_Master'!B9)</f>
        <v>Sania</v>
      </c>
      <c r="C10" s="16" t="str">
        <f>IF('01_Employee_Master'!C9="","",'01_Employee_Master'!C9)</f>
        <v>IT</v>
      </c>
      <c r="D10" s="16" t="str">
        <f>IF('01_Employee_Master'!D9="","",'01_Employee_Master'!D9)</f>
        <v>Wealth Management</v>
      </c>
      <c r="E10" s="36">
        <f ca="1">IF('01_Employee_Master'!E9="","",'01_Employee_Master'!E9)</f>
        <v>809996</v>
      </c>
      <c r="F10" s="37">
        <v>0.15</v>
      </c>
      <c r="G10" s="36">
        <f t="shared" ca="1" si="0"/>
        <v>121499.4</v>
      </c>
      <c r="H10" s="36">
        <f t="shared" ca="1" si="1"/>
        <v>931495.4</v>
      </c>
      <c r="I10" s="36">
        <f t="shared" ca="1" si="2"/>
        <v>77624.616666666669</v>
      </c>
      <c r="J10" s="16" t="s">
        <v>158</v>
      </c>
      <c r="K10" s="16" t="s">
        <v>159</v>
      </c>
      <c r="L10" s="35"/>
      <c r="M10" s="35"/>
    </row>
    <row r="11" spans="1:13" ht="28.8" x14ac:dyDescent="0.3">
      <c r="A11" s="13" t="str">
        <f>IF('01_Employee_Master'!A10="","",'01_Employee_Master'!A10)</f>
        <v>EMP007</v>
      </c>
      <c r="B11" s="13" t="str">
        <f>IF('01_Employee_Master'!B10="","",'01_Employee_Master'!B10)</f>
        <v>Shahbaaz</v>
      </c>
      <c r="C11" s="16" t="str">
        <f>IF('01_Employee_Master'!C10="","",'01_Employee_Master'!C10)</f>
        <v>Marketing</v>
      </c>
      <c r="D11" s="16" t="str">
        <f>IF('01_Employee_Master'!D10="","",'01_Employee_Master'!D10)</f>
        <v>Portfolio Management</v>
      </c>
      <c r="E11" s="36">
        <f ca="1">IF('01_Employee_Master'!E10="","",'01_Employee_Master'!E10)</f>
        <v>815368</v>
      </c>
      <c r="F11" s="37">
        <v>7.0000000000000007E-2</v>
      </c>
      <c r="G11" s="36">
        <f t="shared" ca="1" si="0"/>
        <v>57075.76</v>
      </c>
      <c r="H11" s="36">
        <f t="shared" ca="1" si="1"/>
        <v>872443.76</v>
      </c>
      <c r="I11" s="36">
        <f t="shared" ca="1" si="2"/>
        <v>72703.646666666667</v>
      </c>
      <c r="J11" s="16" t="s">
        <v>158</v>
      </c>
      <c r="K11" s="16" t="s">
        <v>159</v>
      </c>
      <c r="L11" s="35"/>
      <c r="M11" s="35"/>
    </row>
    <row r="12" spans="1:13" x14ac:dyDescent="0.3">
      <c r="A12" s="13" t="str">
        <f>IF('01_Employee_Master'!A11="","",'01_Employee_Master'!A11)</f>
        <v>EMP008</v>
      </c>
      <c r="B12" s="13" t="str">
        <f>IF('01_Employee_Master'!B11="","",'01_Employee_Master'!B11)</f>
        <v>Shabana</v>
      </c>
      <c r="C12" s="16" t="str">
        <f>IF('01_Employee_Master'!C11="","",'01_Employee_Master'!C11)</f>
        <v>HR</v>
      </c>
      <c r="D12" s="16" t="str">
        <f>IF('01_Employee_Master'!D11="","",'01_Employee_Master'!D11)</f>
        <v>Sales &amp; Strategy</v>
      </c>
      <c r="E12" s="36">
        <f ca="1">IF('01_Employee_Master'!E11="","",'01_Employee_Master'!E11)</f>
        <v>505433</v>
      </c>
      <c r="F12" s="37">
        <v>7.0000000000000007E-2</v>
      </c>
      <c r="G12" s="36">
        <f t="shared" ca="1" si="0"/>
        <v>35380.310000000005</v>
      </c>
      <c r="H12" s="36">
        <f t="shared" ca="1" si="1"/>
        <v>540813.31000000006</v>
      </c>
      <c r="I12" s="36">
        <f t="shared" ca="1" si="2"/>
        <v>45067.77583333334</v>
      </c>
      <c r="J12" s="16" t="s">
        <v>158</v>
      </c>
      <c r="K12" s="16" t="s">
        <v>159</v>
      </c>
    </row>
    <row r="13" spans="1:13" x14ac:dyDescent="0.3">
      <c r="A13" s="13" t="str">
        <f>IF('01_Employee_Master'!A12="","",'01_Employee_Master'!A12)</f>
        <v>EMP009</v>
      </c>
      <c r="B13" s="13" t="str">
        <f>IF('01_Employee_Master'!B12="","",'01_Employee_Master'!B12)</f>
        <v>Rafique</v>
      </c>
      <c r="C13" s="16" t="str">
        <f>IF('01_Employee_Master'!C12="","",'01_Employee_Master'!C12)</f>
        <v>Finance</v>
      </c>
      <c r="D13" s="16" t="str">
        <f>IF('01_Employee_Master'!D12="","",'01_Employee_Master'!D12)</f>
        <v>Consultant</v>
      </c>
      <c r="E13" s="36">
        <f ca="1">IF('01_Employee_Master'!E12="","",'01_Employee_Master'!E12)</f>
        <v>728857</v>
      </c>
      <c r="F13" s="37">
        <v>7.0000000000000007E-2</v>
      </c>
      <c r="G13" s="36">
        <f t="shared" ca="1" si="0"/>
        <v>51019.990000000005</v>
      </c>
      <c r="H13" s="36">
        <f t="shared" ca="1" si="1"/>
        <v>779876.99</v>
      </c>
      <c r="I13" s="36">
        <f t="shared" ca="1" si="2"/>
        <v>64989.749166666668</v>
      </c>
      <c r="J13" s="16" t="s">
        <v>158</v>
      </c>
      <c r="K13" s="16" t="s">
        <v>159</v>
      </c>
    </row>
    <row r="14" spans="1:13" x14ac:dyDescent="0.3">
      <c r="A14" s="13" t="str">
        <f>IF('01_Employee_Master'!A13="","",'01_Employee_Master'!A13)</f>
        <v>EMP010</v>
      </c>
      <c r="B14" s="13" t="str">
        <f>IF('01_Employee_Master'!B13="","",'01_Employee_Master'!B13)</f>
        <v>Farhana</v>
      </c>
      <c r="C14" s="16" t="str">
        <f>IF('01_Employee_Master'!C13="","",'01_Employee_Master'!C13)</f>
        <v>Marketing</v>
      </c>
      <c r="D14" s="16" t="str">
        <f>IF('01_Employee_Master'!D13="","",'01_Employee_Master'!D13)</f>
        <v xml:space="preserve">Data Engineer </v>
      </c>
      <c r="E14" s="36">
        <f ca="1">IF('01_Employee_Master'!E13="","",'01_Employee_Master'!E13)</f>
        <v>713960</v>
      </c>
      <c r="F14" s="37">
        <v>7.0000000000000007E-2</v>
      </c>
      <c r="G14" s="36">
        <f t="shared" ca="1" si="0"/>
        <v>49977.200000000004</v>
      </c>
      <c r="H14" s="36">
        <f t="shared" ca="1" si="1"/>
        <v>763937.2</v>
      </c>
      <c r="I14" s="36">
        <f t="shared" ca="1" si="2"/>
        <v>63661.433333333327</v>
      </c>
      <c r="J14" s="16" t="s">
        <v>158</v>
      </c>
      <c r="K14" s="16" t="s">
        <v>159</v>
      </c>
    </row>
    <row r="15" spans="1:13" x14ac:dyDescent="0.3">
      <c r="A15" s="13" t="str">
        <f>IF('01_Employee_Master'!A14="","",'01_Employee_Master'!A14)</f>
        <v>EMP011</v>
      </c>
      <c r="B15" s="13" t="str">
        <f>IF('01_Employee_Master'!B14="","",'01_Employee_Master'!B14)</f>
        <v>Mahira</v>
      </c>
      <c r="C15" s="16" t="str">
        <f>IF('01_Employee_Master'!C14="","",'01_Employee_Master'!C14)</f>
        <v>Marketing</v>
      </c>
      <c r="D15" s="16" t="str">
        <f>IF('01_Employee_Master'!D14="","",'01_Employee_Master'!D14)</f>
        <v>HR Analyst</v>
      </c>
      <c r="E15" s="36">
        <f ca="1">IF('01_Employee_Master'!E14="","",'01_Employee_Master'!E14)</f>
        <v>736046</v>
      </c>
      <c r="F15" s="37">
        <v>7.0000000000000007E-2</v>
      </c>
      <c r="G15" s="36">
        <f t="shared" ca="1" si="0"/>
        <v>51523.220000000008</v>
      </c>
      <c r="H15" s="36">
        <f t="shared" ca="1" si="1"/>
        <v>787569.22</v>
      </c>
      <c r="I15" s="36">
        <f t="shared" ca="1" si="2"/>
        <v>65630.768333333326</v>
      </c>
      <c r="J15" s="16" t="s">
        <v>158</v>
      </c>
      <c r="K15" s="16" t="s">
        <v>159</v>
      </c>
    </row>
    <row r="16" spans="1:13" x14ac:dyDescent="0.3">
      <c r="A16" s="13" t="str">
        <f>IF('01_Employee_Master'!A15="","",'01_Employee_Master'!A15)</f>
        <v>EMP012</v>
      </c>
      <c r="B16" s="13" t="str">
        <f>IF('01_Employee_Master'!B15="","",'01_Employee_Master'!B15)</f>
        <v>Carlos</v>
      </c>
      <c r="C16" s="16" t="str">
        <f>IF('01_Employee_Master'!C15="","",'01_Employee_Master'!C15)</f>
        <v>IT</v>
      </c>
      <c r="D16" s="16" t="str">
        <f>IF('01_Employee_Master'!D15="","",'01_Employee_Master'!D15)</f>
        <v>Sales Executive</v>
      </c>
      <c r="E16" s="36">
        <f ca="1">IF('01_Employee_Master'!E15="","",'01_Employee_Master'!E15)</f>
        <v>574567</v>
      </c>
      <c r="F16" s="37">
        <v>7.0000000000000007E-2</v>
      </c>
      <c r="G16" s="36">
        <f t="shared" ca="1" si="0"/>
        <v>40219.69</v>
      </c>
      <c r="H16" s="36">
        <f t="shared" ca="1" si="1"/>
        <v>614786.68999999994</v>
      </c>
      <c r="I16" s="36">
        <f t="shared" ca="1" si="2"/>
        <v>51232.22416666666</v>
      </c>
      <c r="J16" s="16" t="s">
        <v>158</v>
      </c>
      <c r="K16" s="16" t="s">
        <v>159</v>
      </c>
    </row>
    <row r="17" spans="1:11" x14ac:dyDescent="0.3">
      <c r="A17" s="13" t="str">
        <f>IF('01_Employee_Master'!A16="","",'01_Employee_Master'!A16)</f>
        <v>EMP013</v>
      </c>
      <c r="B17" s="13" t="str">
        <f>IF('01_Employee_Master'!B16="","",'01_Employee_Master'!B16)</f>
        <v>James</v>
      </c>
      <c r="C17" s="16" t="str">
        <f>IF('01_Employee_Master'!C16="","",'01_Employee_Master'!C16)</f>
        <v>HR</v>
      </c>
      <c r="D17" s="16" t="str">
        <f>IF('01_Employee_Master'!D16="","",'01_Employee_Master'!D16)</f>
        <v>HR Analyst</v>
      </c>
      <c r="E17" s="36">
        <f ca="1">IF('01_Employee_Master'!E16="","",'01_Employee_Master'!E16)</f>
        <v>626860</v>
      </c>
      <c r="F17" s="37">
        <v>7.0000000000000007E-2</v>
      </c>
      <c r="G17" s="36">
        <f t="shared" ca="1" si="0"/>
        <v>43880.200000000004</v>
      </c>
      <c r="H17" s="36">
        <f t="shared" ca="1" si="1"/>
        <v>670740.19999999995</v>
      </c>
      <c r="I17" s="36">
        <f t="shared" ca="1" si="2"/>
        <v>55895.016666666663</v>
      </c>
      <c r="J17" s="16" t="s">
        <v>158</v>
      </c>
      <c r="K17" s="16" t="s">
        <v>159</v>
      </c>
    </row>
    <row r="18" spans="1:11" x14ac:dyDescent="0.3">
      <c r="A18" s="13" t="str">
        <f>IF('01_Employee_Master'!A17="","",'01_Employee_Master'!A17)</f>
        <v>EMP014</v>
      </c>
      <c r="B18" s="13" t="str">
        <f>IF('01_Employee_Master'!B17="","",'01_Employee_Master'!B17)</f>
        <v>Pradyumna</v>
      </c>
      <c r="C18" s="16" t="str">
        <f>IF('01_Employee_Master'!C17="","",'01_Employee_Master'!C17)</f>
        <v>Shethphalkar</v>
      </c>
      <c r="D18" s="16" t="str">
        <f>IF('01_Employee_Master'!D17="","",'01_Employee_Master'!D17)</f>
        <v>Wealth Management</v>
      </c>
      <c r="E18" s="36">
        <f>IF('01_Employee_Master'!E17="","",'01_Employee_Master'!E17)</f>
        <v>2400000</v>
      </c>
      <c r="F18" s="37">
        <v>7.0000000000000007E-2</v>
      </c>
      <c r="G18" s="36">
        <f t="shared" si="0"/>
        <v>168000.00000000003</v>
      </c>
      <c r="H18" s="36">
        <f t="shared" si="1"/>
        <v>2568000</v>
      </c>
      <c r="I18" s="36">
        <f t="shared" si="2"/>
        <v>214000</v>
      </c>
      <c r="J18" s="16" t="s">
        <v>158</v>
      </c>
      <c r="K18" s="16" t="s">
        <v>159</v>
      </c>
    </row>
    <row r="19" spans="1:11" x14ac:dyDescent="0.3">
      <c r="A19" s="13" t="str">
        <f>IF('01_Employee_Master'!A18="","",'01_Employee_Master'!A18)</f>
        <v/>
      </c>
      <c r="B19" s="13" t="str">
        <f>IF('01_Employee_Master'!B18="","",'01_Employee_Master'!B18)</f>
        <v/>
      </c>
      <c r="C19" s="16" t="str">
        <f>IF('01_Employee_Master'!C18="","",'01_Employee_Master'!C18)</f>
        <v/>
      </c>
      <c r="D19" s="16" t="str">
        <f>IF('01_Employee_Master'!D18="","",'01_Employee_Master'!D18)</f>
        <v/>
      </c>
      <c r="E19" s="36" t="str">
        <f>IF('01_Employee_Master'!E18="","",'01_Employee_Master'!E18)</f>
        <v/>
      </c>
      <c r="F19" s="37">
        <v>7.0000000000000007E-2</v>
      </c>
      <c r="G19" s="1"/>
      <c r="H19" s="1"/>
      <c r="I19" s="1"/>
      <c r="J19" s="16" t="s">
        <v>158</v>
      </c>
      <c r="K19" s="16" t="s">
        <v>159</v>
      </c>
    </row>
    <row r="20" spans="1:11" x14ac:dyDescent="0.3">
      <c r="G20" s="1"/>
      <c r="H20" s="1"/>
      <c r="I20" s="1"/>
    </row>
    <row r="21" spans="1:11" x14ac:dyDescent="0.3">
      <c r="G21" s="1"/>
      <c r="H21" s="1"/>
      <c r="I21" s="1"/>
    </row>
    <row r="22" spans="1:11" x14ac:dyDescent="0.3">
      <c r="G22" s="1"/>
      <c r="H22" s="1"/>
      <c r="I22" s="1"/>
    </row>
    <row r="23" spans="1:11" x14ac:dyDescent="0.3">
      <c r="G23" s="1"/>
      <c r="H23" s="1"/>
      <c r="I23" s="1"/>
    </row>
    <row r="24" spans="1:11" x14ac:dyDescent="0.3">
      <c r="G24" s="1"/>
      <c r="H24" s="1"/>
      <c r="I24" s="1"/>
    </row>
    <row r="29" spans="1:11" x14ac:dyDescent="0.3">
      <c r="F29" t="s">
        <v>202</v>
      </c>
    </row>
  </sheetData>
  <mergeCells count="1">
    <mergeCell ref="A1:L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7DC18-BA97-4362-A401-FD291AE01052}">
  <sheetPr codeName="Sheet10"/>
  <dimension ref="A1:L35"/>
  <sheetViews>
    <sheetView topLeftCell="A11" workbookViewId="0">
      <selection activeCell="A27" sqref="A27"/>
    </sheetView>
  </sheetViews>
  <sheetFormatPr defaultRowHeight="14.4" x14ac:dyDescent="0.3"/>
  <cols>
    <col min="1" max="1" width="20.77734375" bestFit="1" customWidth="1"/>
    <col min="2" max="2" width="14.44140625" bestFit="1" customWidth="1"/>
    <col min="10" max="10" width="12.44140625" bestFit="1" customWidth="1"/>
  </cols>
  <sheetData>
    <row r="1" spans="1:12" x14ac:dyDescent="0.3">
      <c r="A1" s="40" t="s">
        <v>206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</row>
    <row r="2" spans="1:12" x14ac:dyDescent="0.3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</row>
    <row r="4" spans="1:12" x14ac:dyDescent="0.3">
      <c r="A4" s="16" t="s">
        <v>172</v>
      </c>
      <c r="B4" s="16" t="s">
        <v>173</v>
      </c>
    </row>
    <row r="5" spans="1:12" x14ac:dyDescent="0.3">
      <c r="A5" s="16" t="s">
        <v>152</v>
      </c>
      <c r="B5" s="41">
        <v>0.05</v>
      </c>
    </row>
    <row r="6" spans="1:12" x14ac:dyDescent="0.3">
      <c r="A6" s="16" t="s">
        <v>174</v>
      </c>
      <c r="B6" s="17">
        <f>SUM('10_Compensation_Dept Budget'!E5:E9)</f>
        <v>5500000</v>
      </c>
    </row>
    <row r="7" spans="1:12" x14ac:dyDescent="0.3">
      <c r="A7" s="16" t="s">
        <v>151</v>
      </c>
      <c r="B7" s="17">
        <f ca="1">SUM('10_Compensation_Dept Budget'!B5:B9)</f>
        <v>8751087</v>
      </c>
    </row>
    <row r="10" spans="1:12" ht="43.2" x14ac:dyDescent="0.3">
      <c r="A10" s="19" t="s">
        <v>1</v>
      </c>
      <c r="B10" s="19" t="s">
        <v>2</v>
      </c>
      <c r="C10" s="19" t="s">
        <v>3</v>
      </c>
      <c r="D10" s="19" t="s">
        <v>4</v>
      </c>
      <c r="E10" s="19" t="s">
        <v>175</v>
      </c>
      <c r="F10" s="19" t="s">
        <v>176</v>
      </c>
      <c r="G10" s="19" t="s">
        <v>153</v>
      </c>
      <c r="H10" s="19" t="s">
        <v>177</v>
      </c>
      <c r="I10" s="19" t="s">
        <v>178</v>
      </c>
      <c r="J10" s="19" t="s">
        <v>179</v>
      </c>
    </row>
    <row r="11" spans="1:12" x14ac:dyDescent="0.3">
      <c r="A11" s="13" t="str">
        <f>IF('01_Employee_Master'!A4="","",'01_Employee_Master'!A4)</f>
        <v>EMP001</v>
      </c>
      <c r="B11" s="13" t="str">
        <f>IF('01_Employee_Master'!B4="","",'01_Employee_Master'!B4)</f>
        <v>Aarav Mehta</v>
      </c>
      <c r="C11" s="16" t="str">
        <f>IF('01_Employee_Master'!C4="","",'01_Employee_Master'!C4)</f>
        <v>HR</v>
      </c>
      <c r="D11" s="16" t="str">
        <f>IF('01_Employee_Master'!D4="","",'01_Employee_Master'!D4)</f>
        <v>HR Analyst</v>
      </c>
      <c r="E11" s="16">
        <f>IF('01_Employee_Master'!E4="","",'01_Employee_Master'!E4)</f>
        <v>600000</v>
      </c>
      <c r="F11" s="41">
        <f>$B$5</f>
        <v>0.05</v>
      </c>
      <c r="G11" s="16">
        <f>IF(E11="","",E11*F11)</f>
        <v>30000</v>
      </c>
      <c r="H11" s="16">
        <f>IF(E11="","",E11+G11)</f>
        <v>630000</v>
      </c>
      <c r="I11" s="16">
        <f>IF(E11="","",H11-E11)</f>
        <v>30000</v>
      </c>
      <c r="J11" s="16" t="str">
        <f ca="1">IF(I11="","",IF(SUM($I$11:$I$24)&lt;=$B$6,"Within Budget","Over Budget"))</f>
        <v>Within Budget</v>
      </c>
    </row>
    <row r="12" spans="1:12" x14ac:dyDescent="0.3">
      <c r="A12" s="13" t="str">
        <f>IF('01_Employee_Master'!A5="","",'01_Employee_Master'!A5)</f>
        <v>EMP002</v>
      </c>
      <c r="B12" s="13" t="str">
        <f>IF('01_Employee_Master'!B5="","",'01_Employee_Master'!B5)</f>
        <v>Riya Shah</v>
      </c>
      <c r="C12" s="16" t="str">
        <f>IF('01_Employee_Master'!C5="","",'01_Employee_Master'!C5)</f>
        <v>Finance</v>
      </c>
      <c r="D12" s="16" t="str">
        <f>IF('01_Employee_Master'!D5="","",'01_Employee_Master'!D5)</f>
        <v>Financial Analyst</v>
      </c>
      <c r="E12" s="16">
        <f>IF('01_Employee_Master'!E5="","",'01_Employee_Master'!E5)</f>
        <v>720000</v>
      </c>
      <c r="F12" s="41">
        <f t="shared" ref="F12:F24" si="0">$B$5</f>
        <v>0.05</v>
      </c>
      <c r="G12" s="16">
        <f t="shared" ref="G12:G24" si="1">IF(E12="","",E12*F12)</f>
        <v>36000</v>
      </c>
      <c r="H12" s="16">
        <f t="shared" ref="H12:H24" si="2">IF(E12="","",E12+G12)</f>
        <v>756000</v>
      </c>
      <c r="I12" s="16">
        <f t="shared" ref="I12:I24" si="3">IF(E12="","",H12-E12)</f>
        <v>36000</v>
      </c>
      <c r="J12" s="16" t="str">
        <f ca="1">IF(I12="","",IF(SUM($I$11:$I$24)&lt;=$B$6,"Within Budget","Over Budget"))</f>
        <v>Within Budget</v>
      </c>
    </row>
    <row r="13" spans="1:12" x14ac:dyDescent="0.3">
      <c r="A13" s="13" t="str">
        <f>IF('01_Employee_Master'!A6="","",'01_Employee_Master'!A6)</f>
        <v>EMP003</v>
      </c>
      <c r="B13" s="13" t="str">
        <f>IF('01_Employee_Master'!B6="","",'01_Employee_Master'!B6)</f>
        <v>Kabir Joshi</v>
      </c>
      <c r="C13" s="16" t="str">
        <f>IF('01_Employee_Master'!C6="","",'01_Employee_Master'!C6)</f>
        <v>Sales</v>
      </c>
      <c r="D13" s="16" t="str">
        <f>IF('01_Employee_Master'!D6="","",'01_Employee_Master'!D6)</f>
        <v>Sales Executive</v>
      </c>
      <c r="E13" s="16">
        <f>IF('01_Employee_Master'!E6="","",'01_Employee_Master'!E6)</f>
        <v>480000</v>
      </c>
      <c r="F13" s="41">
        <f t="shared" si="0"/>
        <v>0.05</v>
      </c>
      <c r="G13" s="16">
        <f t="shared" si="1"/>
        <v>24000</v>
      </c>
      <c r="H13" s="16">
        <f t="shared" si="2"/>
        <v>504000</v>
      </c>
      <c r="I13" s="16">
        <f t="shared" si="3"/>
        <v>24000</v>
      </c>
      <c r="J13" s="16" t="str">
        <f ca="1">IF(I13="","",IF(SUM($I$11:$I$24)&lt;=$B$6,"Within Budget","Over Budget"))</f>
        <v>Within Budget</v>
      </c>
    </row>
    <row r="14" spans="1:12" x14ac:dyDescent="0.3">
      <c r="A14" s="13" t="str">
        <f>IF('01_Employee_Master'!A7="","",'01_Employee_Master'!A7)</f>
        <v>EMP004</v>
      </c>
      <c r="B14" s="13" t="str">
        <f>IF('01_Employee_Master'!B7="","",'01_Employee_Master'!B7)</f>
        <v>Meera Iyer</v>
      </c>
      <c r="C14" s="16" t="str">
        <f>IF('01_Employee_Master'!C7="","",'01_Employee_Master'!C7)</f>
        <v>IT</v>
      </c>
      <c r="D14" s="16" t="str">
        <f>IF('01_Employee_Master'!D7="","",'01_Employee_Master'!D7)</f>
        <v>Data Analyst</v>
      </c>
      <c r="E14" s="16">
        <f>IF('01_Employee_Master'!E7="","",'01_Employee_Master'!E7)</f>
        <v>900000</v>
      </c>
      <c r="F14" s="41">
        <f t="shared" si="0"/>
        <v>0.05</v>
      </c>
      <c r="G14" s="16">
        <f t="shared" si="1"/>
        <v>45000</v>
      </c>
      <c r="H14" s="16">
        <f t="shared" si="2"/>
        <v>945000</v>
      </c>
      <c r="I14" s="16">
        <f t="shared" si="3"/>
        <v>45000</v>
      </c>
      <c r="J14" s="16" t="str">
        <f ca="1">IF(I14="","",IF(SUM($I$11:$I$24)&lt;=$B$6,"Within Budget","Over Budget"))</f>
        <v>Within Budget</v>
      </c>
    </row>
    <row r="15" spans="1:12" x14ac:dyDescent="0.3">
      <c r="A15" s="13" t="str">
        <f>IF('01_Employee_Master'!A8="","",'01_Employee_Master'!A8)</f>
        <v>EMP005</v>
      </c>
      <c r="B15" s="13" t="str">
        <f>IF('01_Employee_Master'!B8="","",'01_Employee_Master'!B8)</f>
        <v>Vivaan Rao</v>
      </c>
      <c r="C15" s="16" t="str">
        <f>IF('01_Employee_Master'!C8="","",'01_Employee_Master'!C8)</f>
        <v>Marketing</v>
      </c>
      <c r="D15" s="16" t="str">
        <f>IF('01_Employee_Master'!D8="","",'01_Employee_Master'!D8)</f>
        <v>Marketing Executive</v>
      </c>
      <c r="E15" s="16">
        <f>IF('01_Employee_Master'!E8="","",'01_Employee_Master'!E8)</f>
        <v>540000</v>
      </c>
      <c r="F15" s="41">
        <f t="shared" si="0"/>
        <v>0.05</v>
      </c>
      <c r="G15" s="16">
        <f t="shared" si="1"/>
        <v>27000</v>
      </c>
      <c r="H15" s="16">
        <f t="shared" si="2"/>
        <v>567000</v>
      </c>
      <c r="I15" s="16">
        <f t="shared" si="3"/>
        <v>27000</v>
      </c>
      <c r="J15" s="16" t="str">
        <f ca="1">IF(I15="","",IF(SUM($I$11:$I$24)&lt;=$B$6,"Within Budget","Over Budget"))</f>
        <v>Within Budget</v>
      </c>
    </row>
    <row r="16" spans="1:12" x14ac:dyDescent="0.3">
      <c r="A16" s="13" t="str">
        <f>IF('01_Employee_Master'!A9="","",'01_Employee_Master'!A9)</f>
        <v>EMP006</v>
      </c>
      <c r="B16" s="13" t="str">
        <f>IF('01_Employee_Master'!B9="","",'01_Employee_Master'!B9)</f>
        <v>Sania</v>
      </c>
      <c r="C16" s="16" t="str">
        <f>IF('01_Employee_Master'!C9="","",'01_Employee_Master'!C9)</f>
        <v>IT</v>
      </c>
      <c r="D16" s="16" t="str">
        <f>IF('01_Employee_Master'!D9="","",'01_Employee_Master'!D9)</f>
        <v>Wealth Management</v>
      </c>
      <c r="E16" s="16">
        <f ca="1">IF('01_Employee_Master'!E9="","",'01_Employee_Master'!E9)</f>
        <v>809996</v>
      </c>
      <c r="F16" s="41">
        <v>7.0000000000000007E-2</v>
      </c>
      <c r="G16" s="16">
        <f t="shared" ca="1" si="1"/>
        <v>56699.720000000008</v>
      </c>
      <c r="H16" s="16">
        <f t="shared" ca="1" si="2"/>
        <v>866695.72</v>
      </c>
      <c r="I16" s="16">
        <f t="shared" ca="1" si="3"/>
        <v>56699.719999999972</v>
      </c>
      <c r="J16" s="16" t="str">
        <f ca="1">IF(I16="","",IF(SUM($I$11:$I$24)&lt;=$B$6,"Within Budget","Over Budget"))</f>
        <v>Within Budget</v>
      </c>
    </row>
    <row r="17" spans="1:10" x14ac:dyDescent="0.3">
      <c r="A17" s="13" t="str">
        <f>IF('01_Employee_Master'!A10="","",'01_Employee_Master'!A10)</f>
        <v>EMP007</v>
      </c>
      <c r="B17" s="13" t="str">
        <f>IF('01_Employee_Master'!B10="","",'01_Employee_Master'!B10)</f>
        <v>Shahbaaz</v>
      </c>
      <c r="C17" s="16" t="str">
        <f>IF('01_Employee_Master'!C10="","",'01_Employee_Master'!C10)</f>
        <v>Marketing</v>
      </c>
      <c r="D17" s="16" t="str">
        <f>IF('01_Employee_Master'!D10="","",'01_Employee_Master'!D10)</f>
        <v>Portfolio Management</v>
      </c>
      <c r="E17" s="16">
        <f ca="1">IF('01_Employee_Master'!E10="","",'01_Employee_Master'!E10)</f>
        <v>815368</v>
      </c>
      <c r="F17" s="41">
        <f t="shared" si="0"/>
        <v>0.05</v>
      </c>
      <c r="G17" s="16">
        <f t="shared" ca="1" si="1"/>
        <v>40768.400000000001</v>
      </c>
      <c r="H17" s="16">
        <f t="shared" ca="1" si="2"/>
        <v>856136.4</v>
      </c>
      <c r="I17" s="16">
        <f t="shared" ca="1" si="3"/>
        <v>40768.400000000023</v>
      </c>
      <c r="J17" s="16" t="str">
        <f ca="1">IF(I17="","",IF(SUM($I$11:$I$24)&lt;=$B$6,"Within Budget","Over Budget"))</f>
        <v>Within Budget</v>
      </c>
    </row>
    <row r="18" spans="1:10" x14ac:dyDescent="0.3">
      <c r="A18" s="13" t="str">
        <f>IF('01_Employee_Master'!A11="","",'01_Employee_Master'!A11)</f>
        <v>EMP008</v>
      </c>
      <c r="B18" s="13" t="str">
        <f>IF('01_Employee_Master'!B11="","",'01_Employee_Master'!B11)</f>
        <v>Shabana</v>
      </c>
      <c r="C18" s="16" t="str">
        <f>IF('01_Employee_Master'!C11="","",'01_Employee_Master'!C11)</f>
        <v>HR</v>
      </c>
      <c r="D18" s="16" t="str">
        <f>IF('01_Employee_Master'!D11="","",'01_Employee_Master'!D11)</f>
        <v>Sales &amp; Strategy</v>
      </c>
      <c r="E18" s="16">
        <f ca="1">IF('01_Employee_Master'!E11="","",'01_Employee_Master'!E11)</f>
        <v>505433</v>
      </c>
      <c r="F18" s="41">
        <f t="shared" si="0"/>
        <v>0.05</v>
      </c>
      <c r="G18" s="16">
        <f t="shared" ca="1" si="1"/>
        <v>25271.65</v>
      </c>
      <c r="H18" s="16">
        <f t="shared" ca="1" si="2"/>
        <v>530704.65</v>
      </c>
      <c r="I18" s="16">
        <f t="shared" ca="1" si="3"/>
        <v>25271.650000000023</v>
      </c>
      <c r="J18" s="16" t="str">
        <f ca="1">IF(I18="","",IF(SUM($I$11:$I$24)&lt;=$B$6,"Within Budget","Over Budget"))</f>
        <v>Within Budget</v>
      </c>
    </row>
    <row r="19" spans="1:10" x14ac:dyDescent="0.3">
      <c r="A19" s="13" t="str">
        <f>IF('01_Employee_Master'!A12="","",'01_Employee_Master'!A12)</f>
        <v>EMP009</v>
      </c>
      <c r="B19" s="13" t="str">
        <f>IF('01_Employee_Master'!B12="","",'01_Employee_Master'!B12)</f>
        <v>Rafique</v>
      </c>
      <c r="C19" s="16" t="str">
        <f>IF('01_Employee_Master'!C12="","",'01_Employee_Master'!C12)</f>
        <v>Finance</v>
      </c>
      <c r="D19" s="16" t="str">
        <f>IF('01_Employee_Master'!D12="","",'01_Employee_Master'!D12)</f>
        <v>Consultant</v>
      </c>
      <c r="E19" s="16">
        <f ca="1">IF('01_Employee_Master'!E12="","",'01_Employee_Master'!E12)</f>
        <v>728857</v>
      </c>
      <c r="F19" s="41">
        <f t="shared" si="0"/>
        <v>0.05</v>
      </c>
      <c r="G19" s="16">
        <f t="shared" ca="1" si="1"/>
        <v>36442.85</v>
      </c>
      <c r="H19" s="16">
        <f t="shared" ca="1" si="2"/>
        <v>765299.85</v>
      </c>
      <c r="I19" s="16">
        <f t="shared" ca="1" si="3"/>
        <v>36442.849999999977</v>
      </c>
      <c r="J19" s="16" t="str">
        <f ca="1">IF(I19="","",IF(SUM($I$11:$I$24)&lt;=$B$6,"Within Budget","Over Budget"))</f>
        <v>Within Budget</v>
      </c>
    </row>
    <row r="20" spans="1:10" x14ac:dyDescent="0.3">
      <c r="A20" s="13" t="str">
        <f>IF('01_Employee_Master'!A13="","",'01_Employee_Master'!A13)</f>
        <v>EMP010</v>
      </c>
      <c r="B20" s="13" t="str">
        <f>IF('01_Employee_Master'!B13="","",'01_Employee_Master'!B13)</f>
        <v>Farhana</v>
      </c>
      <c r="C20" s="16" t="str">
        <f>IF('01_Employee_Master'!C13="","",'01_Employee_Master'!C13)</f>
        <v>Marketing</v>
      </c>
      <c r="D20" s="16" t="str">
        <f>IF('01_Employee_Master'!D13="","",'01_Employee_Master'!D13)</f>
        <v xml:space="preserve">Data Engineer </v>
      </c>
      <c r="E20" s="16">
        <f ca="1">IF('01_Employee_Master'!E13="","",'01_Employee_Master'!E13)</f>
        <v>713960</v>
      </c>
      <c r="F20" s="41">
        <f t="shared" si="0"/>
        <v>0.05</v>
      </c>
      <c r="G20" s="16">
        <f t="shared" ca="1" si="1"/>
        <v>35698</v>
      </c>
      <c r="H20" s="16">
        <f t="shared" ca="1" si="2"/>
        <v>749658</v>
      </c>
      <c r="I20" s="16">
        <f t="shared" ca="1" si="3"/>
        <v>35698</v>
      </c>
      <c r="J20" s="16" t="str">
        <f ca="1">IF(I20="","",IF(SUM($I$11:$I$24)&lt;=$B$6,"Within Budget","Over Budget"))</f>
        <v>Within Budget</v>
      </c>
    </row>
    <row r="21" spans="1:10" x14ac:dyDescent="0.3">
      <c r="A21" s="13" t="str">
        <f>IF('01_Employee_Master'!A14="","",'01_Employee_Master'!A14)</f>
        <v>EMP011</v>
      </c>
      <c r="B21" s="13" t="str">
        <f>IF('01_Employee_Master'!B14="","",'01_Employee_Master'!B14)</f>
        <v>Mahira</v>
      </c>
      <c r="C21" s="16" t="str">
        <f>IF('01_Employee_Master'!C14="","",'01_Employee_Master'!C14)</f>
        <v>Marketing</v>
      </c>
      <c r="D21" s="16" t="str">
        <f>IF('01_Employee_Master'!D14="","",'01_Employee_Master'!D14)</f>
        <v>HR Analyst</v>
      </c>
      <c r="E21" s="16">
        <f ca="1">IF('01_Employee_Master'!E14="","",'01_Employee_Master'!E14)</f>
        <v>736046</v>
      </c>
      <c r="F21" s="41">
        <f t="shared" si="0"/>
        <v>0.05</v>
      </c>
      <c r="G21" s="16">
        <f t="shared" ca="1" si="1"/>
        <v>36802.300000000003</v>
      </c>
      <c r="H21" s="16">
        <f t="shared" ca="1" si="2"/>
        <v>772848.3</v>
      </c>
      <c r="I21" s="16">
        <f t="shared" ca="1" si="3"/>
        <v>36802.300000000047</v>
      </c>
      <c r="J21" s="16" t="str">
        <f ca="1">IF(I21="","",IF(SUM($I$11:$I$24)&lt;=$B$6,"Within Budget","Over Budget"))</f>
        <v>Within Budget</v>
      </c>
    </row>
    <row r="22" spans="1:10" x14ac:dyDescent="0.3">
      <c r="A22" s="13" t="str">
        <f>IF('01_Employee_Master'!A15="","",'01_Employee_Master'!A15)</f>
        <v>EMP012</v>
      </c>
      <c r="B22" s="13" t="str">
        <f>IF('01_Employee_Master'!B15="","",'01_Employee_Master'!B15)</f>
        <v>Carlos</v>
      </c>
      <c r="C22" s="16" t="str">
        <f>IF('01_Employee_Master'!C15="","",'01_Employee_Master'!C15)</f>
        <v>IT</v>
      </c>
      <c r="D22" s="16" t="str">
        <f>IF('01_Employee_Master'!D15="","",'01_Employee_Master'!D15)</f>
        <v>Sales Executive</v>
      </c>
      <c r="E22" s="16">
        <f ca="1">IF('01_Employee_Master'!E15="","",'01_Employee_Master'!E15)</f>
        <v>574567</v>
      </c>
      <c r="F22" s="41">
        <f t="shared" si="0"/>
        <v>0.05</v>
      </c>
      <c r="G22" s="16">
        <f t="shared" ca="1" si="1"/>
        <v>28728.350000000002</v>
      </c>
      <c r="H22" s="16">
        <f t="shared" ca="1" si="2"/>
        <v>603295.35</v>
      </c>
      <c r="I22" s="16">
        <f t="shared" ca="1" si="3"/>
        <v>28728.349999999977</v>
      </c>
      <c r="J22" s="16" t="str">
        <f ca="1">IF(I22="","",IF(SUM($I$11:$I$24)&lt;=$B$6,"Within Budget","Over Budget"))</f>
        <v>Within Budget</v>
      </c>
    </row>
    <row r="23" spans="1:10" x14ac:dyDescent="0.3">
      <c r="A23" s="13" t="str">
        <f>IF('01_Employee_Master'!A16="","",'01_Employee_Master'!A16)</f>
        <v>EMP013</v>
      </c>
      <c r="B23" s="13" t="str">
        <f>IF('01_Employee_Master'!B16="","",'01_Employee_Master'!B16)</f>
        <v>James</v>
      </c>
      <c r="C23" s="16" t="str">
        <f>IF('01_Employee_Master'!C16="","",'01_Employee_Master'!C16)</f>
        <v>HR</v>
      </c>
      <c r="D23" s="16" t="str">
        <f>IF('01_Employee_Master'!D16="","",'01_Employee_Master'!D16)</f>
        <v>HR Analyst</v>
      </c>
      <c r="E23" s="16">
        <f ca="1">IF('01_Employee_Master'!E16="","",'01_Employee_Master'!E16)</f>
        <v>626860</v>
      </c>
      <c r="F23" s="41">
        <f t="shared" si="0"/>
        <v>0.05</v>
      </c>
      <c r="G23" s="16">
        <f t="shared" ca="1" si="1"/>
        <v>31343</v>
      </c>
      <c r="H23" s="16">
        <f t="shared" ca="1" si="2"/>
        <v>658203</v>
      </c>
      <c r="I23" s="16">
        <f t="shared" ca="1" si="3"/>
        <v>31343</v>
      </c>
      <c r="J23" s="16" t="str">
        <f ca="1">IF(I23="","",IF(SUM($I$11:$I$24)&lt;=$B$6,"Within Budget","Over Budget"))</f>
        <v>Within Budget</v>
      </c>
    </row>
    <row r="24" spans="1:10" x14ac:dyDescent="0.3">
      <c r="A24" s="13" t="str">
        <f>IF('01_Employee_Master'!A17="","",'01_Employee_Master'!A17)</f>
        <v>EMP014</v>
      </c>
      <c r="B24" s="13" t="str">
        <f>IF('01_Employee_Master'!B17="","",'01_Employee_Master'!B17)</f>
        <v>Pradyumna</v>
      </c>
      <c r="C24" s="16"/>
      <c r="D24" s="16" t="str">
        <f>IF('01_Employee_Master'!D17="","",'01_Employee_Master'!D17)</f>
        <v>Wealth Management</v>
      </c>
      <c r="E24" s="16">
        <f>IF('01_Employee_Master'!E17="","",'01_Employee_Master'!E17)</f>
        <v>2400000</v>
      </c>
      <c r="F24" s="41">
        <f t="shared" si="0"/>
        <v>0.05</v>
      </c>
      <c r="G24" s="16">
        <f t="shared" si="1"/>
        <v>120000</v>
      </c>
      <c r="H24" s="16">
        <f t="shared" si="2"/>
        <v>2520000</v>
      </c>
      <c r="I24" s="16">
        <f t="shared" si="3"/>
        <v>120000</v>
      </c>
      <c r="J24" s="16" t="str">
        <f ca="1">IF(I24="","",IF(SUM($I$11:$I$24)&lt;=$B$6,"Within Budget","Over Budget"))</f>
        <v>Within Budget</v>
      </c>
    </row>
    <row r="27" spans="1:10" x14ac:dyDescent="0.3">
      <c r="A27" s="18" t="s">
        <v>180</v>
      </c>
      <c r="B27" s="1"/>
      <c r="C27" s="1"/>
      <c r="D27" s="1"/>
      <c r="E27" s="1"/>
      <c r="F27" s="1"/>
      <c r="G27" s="1"/>
      <c r="H27" s="1"/>
    </row>
    <row r="28" spans="1:10" x14ac:dyDescent="0.3">
      <c r="A28" s="13" t="s">
        <v>181</v>
      </c>
      <c r="B28" s="13">
        <f ca="1">SUM(E11:E24)</f>
        <v>11151087</v>
      </c>
      <c r="C28" s="1"/>
      <c r="D28" s="1"/>
      <c r="E28" s="1"/>
      <c r="F28" s="1"/>
      <c r="G28" s="1"/>
      <c r="H28" s="1"/>
    </row>
    <row r="29" spans="1:10" x14ac:dyDescent="0.3">
      <c r="A29" s="13" t="s">
        <v>166</v>
      </c>
      <c r="B29" s="13">
        <f ca="1">SUM(G11:G24)</f>
        <v>573754.27</v>
      </c>
    </row>
    <row r="30" spans="1:10" x14ac:dyDescent="0.3">
      <c r="A30" s="13" t="s">
        <v>182</v>
      </c>
      <c r="B30" s="13">
        <f ca="1">SUM(H11:H24)</f>
        <v>11724841.27</v>
      </c>
    </row>
    <row r="31" spans="1:10" x14ac:dyDescent="0.3">
      <c r="A31" s="13" t="s">
        <v>183</v>
      </c>
      <c r="B31" s="14">
        <f>SUM('10_Compensation_Dept Budget'!E5:E9)</f>
        <v>5500000</v>
      </c>
    </row>
    <row r="32" spans="1:10" x14ac:dyDescent="0.3">
      <c r="A32" s="13" t="s">
        <v>184</v>
      </c>
      <c r="B32" s="14">
        <f ca="1">B31-B29</f>
        <v>4926245.7300000004</v>
      </c>
    </row>
    <row r="33" spans="1:2" x14ac:dyDescent="0.3">
      <c r="A33" s="13" t="s">
        <v>185</v>
      </c>
      <c r="B33" s="13">
        <f ca="1">IF(B31=0,0,B29/B31)</f>
        <v>0.10431895818181819</v>
      </c>
    </row>
    <row r="34" spans="1:2" x14ac:dyDescent="0.3">
      <c r="A34" s="13" t="s">
        <v>186</v>
      </c>
      <c r="B34" s="43" t="str">
        <f ca="1">IF(B32&lt;0,"OVER BUDGET","WITHIN BUDGET")</f>
        <v>WITHIN BUDGET</v>
      </c>
    </row>
    <row r="35" spans="1:2" x14ac:dyDescent="0.3">
      <c r="A35" s="1"/>
      <c r="B35" s="1"/>
    </row>
  </sheetData>
  <mergeCells count="1">
    <mergeCell ref="A1:L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02D54-C190-4C27-847F-28AC6D200E33}">
  <sheetPr codeName="Sheet11"/>
  <dimension ref="A1:L10"/>
  <sheetViews>
    <sheetView workbookViewId="0">
      <selection activeCell="A4" sqref="A4:G4"/>
    </sheetView>
  </sheetViews>
  <sheetFormatPr defaultRowHeight="14.4" x14ac:dyDescent="0.3"/>
  <cols>
    <col min="2" max="3" width="12.88671875" bestFit="1" customWidth="1"/>
    <col min="4" max="4" width="11.88671875" bestFit="1" customWidth="1"/>
    <col min="5" max="6" width="12.88671875" bestFit="1" customWidth="1"/>
    <col min="7" max="7" width="12.44140625" bestFit="1" customWidth="1"/>
  </cols>
  <sheetData>
    <row r="1" spans="1:12" x14ac:dyDescent="0.3">
      <c r="A1" s="40" t="s">
        <v>205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</row>
    <row r="2" spans="1:12" x14ac:dyDescent="0.3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</row>
    <row r="4" spans="1:12" ht="43.2" x14ac:dyDescent="0.3">
      <c r="A4" s="19" t="s">
        <v>3</v>
      </c>
      <c r="B4" s="19" t="s">
        <v>164</v>
      </c>
      <c r="C4" s="19" t="s">
        <v>165</v>
      </c>
      <c r="D4" s="19" t="s">
        <v>166</v>
      </c>
      <c r="E4" s="19" t="s">
        <v>167</v>
      </c>
      <c r="F4" s="19" t="s">
        <v>168</v>
      </c>
      <c r="G4" s="19" t="s">
        <v>169</v>
      </c>
    </row>
    <row r="5" spans="1:12" x14ac:dyDescent="0.3">
      <c r="A5" s="13" t="s">
        <v>11</v>
      </c>
      <c r="B5" s="14">
        <f ca="1">SUMIF('08_Compensation_Planning'!$C$5:$C$19,A5,'08_Compensation_Planning'!$E$5:$E$19)</f>
        <v>1732293</v>
      </c>
      <c r="C5" s="17">
        <f ca="1">SUMIF('08_Compensation_Planning'!$C$5:$C$19,A5,'08_Compensation_Planning'!$H$5:$H$19)</f>
        <v>1853553.51</v>
      </c>
      <c r="D5" s="17">
        <f ca="1">C5-B5</f>
        <v>121260.51000000001</v>
      </c>
      <c r="E5" s="17">
        <v>1000000</v>
      </c>
      <c r="F5" s="17">
        <f ca="1">E5-D5</f>
        <v>878739.49</v>
      </c>
      <c r="G5" s="16" t="str">
        <f ca="1">IF(F5&lt;E5,"Within Budget","Out of Budget")</f>
        <v>Within Budget</v>
      </c>
    </row>
    <row r="6" spans="1:12" x14ac:dyDescent="0.3">
      <c r="A6" s="13" t="s">
        <v>17</v>
      </c>
      <c r="B6" s="14">
        <f ca="1">SUMIF('08_Compensation_Planning'!$C$5:$C$19,A6,'08_Compensation_Planning'!$E$5:$E$19)</f>
        <v>1448857</v>
      </c>
      <c r="C6" s="17">
        <f ca="1">SUMIF('08_Compensation_Planning'!$C$5:$C$19,A6,'08_Compensation_Planning'!$H$5:$H$19)</f>
        <v>1550276.99</v>
      </c>
      <c r="D6" s="17">
        <f t="shared" ref="D6:D9" ca="1" si="0">C6-B6</f>
        <v>101419.98999999999</v>
      </c>
      <c r="E6" s="17">
        <v>1000000</v>
      </c>
      <c r="F6" s="17">
        <f t="shared" ref="F6:F9" ca="1" si="1">E6-D6</f>
        <v>898580.01</v>
      </c>
      <c r="G6" s="16" t="str">
        <f t="shared" ref="G6:G9" ca="1" si="2">IF(F6&lt;E6,"Within Budget","Out of Budget")</f>
        <v>Within Budget</v>
      </c>
    </row>
    <row r="7" spans="1:12" x14ac:dyDescent="0.3">
      <c r="A7" s="13" t="s">
        <v>21</v>
      </c>
      <c r="B7" s="14">
        <f>SUMIF('08_Compensation_Planning'!$C$5:$C$19,A7,'08_Compensation_Planning'!$E$5:$E$19)</f>
        <v>480000</v>
      </c>
      <c r="C7" s="17">
        <f>SUMIF('08_Compensation_Planning'!$C$5:$C$19,A7,'08_Compensation_Planning'!$H$5:$H$19)</f>
        <v>513600</v>
      </c>
      <c r="D7" s="17">
        <f t="shared" si="0"/>
        <v>33600</v>
      </c>
      <c r="E7" s="17">
        <v>1000000</v>
      </c>
      <c r="F7" s="17">
        <f t="shared" si="1"/>
        <v>966400</v>
      </c>
      <c r="G7" s="16" t="str">
        <f t="shared" si="2"/>
        <v>Within Budget</v>
      </c>
    </row>
    <row r="8" spans="1:12" x14ac:dyDescent="0.3">
      <c r="A8" s="13" t="s">
        <v>25</v>
      </c>
      <c r="B8" s="14">
        <f ca="1">SUMIF('08_Compensation_Planning'!$C$5:$C$19,A8,'08_Compensation_Planning'!$E$5:$E$19)</f>
        <v>2284563</v>
      </c>
      <c r="C8" s="17">
        <f ca="1">SUMIF('08_Compensation_Planning'!$C$5:$C$19,A8,'08_Compensation_Planning'!$H$5:$H$19)</f>
        <v>2509282.09</v>
      </c>
      <c r="D8" s="17">
        <f t="shared" ca="1" si="0"/>
        <v>224719.08999999985</v>
      </c>
      <c r="E8" s="17">
        <v>1500000</v>
      </c>
      <c r="F8" s="17">
        <f t="shared" ca="1" si="1"/>
        <v>1275280.9100000001</v>
      </c>
      <c r="G8" s="16" t="str">
        <f t="shared" ca="1" si="2"/>
        <v>Within Budget</v>
      </c>
    </row>
    <row r="9" spans="1:12" ht="28.8" x14ac:dyDescent="0.3">
      <c r="A9" s="13" t="s">
        <v>29</v>
      </c>
      <c r="B9" s="14">
        <f ca="1">SUMIF('08_Compensation_Planning'!$C$5:$C$19,A9,'08_Compensation_Planning'!$E$5:$E$19)</f>
        <v>2805374</v>
      </c>
      <c r="C9" s="17">
        <f ca="1">SUMIF('08_Compensation_Planning'!$C$5:$C$19,A9,'08_Compensation_Planning'!$H$5:$H$19)</f>
        <v>3017950.1799999997</v>
      </c>
      <c r="D9" s="17">
        <f t="shared" ca="1" si="0"/>
        <v>212576.1799999997</v>
      </c>
      <c r="E9" s="17">
        <v>1000000</v>
      </c>
      <c r="F9" s="17">
        <f t="shared" ca="1" si="1"/>
        <v>787423.8200000003</v>
      </c>
      <c r="G9" s="16" t="str">
        <f t="shared" ca="1" si="2"/>
        <v>Within Budget</v>
      </c>
    </row>
    <row r="10" spans="1:12" x14ac:dyDescent="0.3">
      <c r="A10" s="1"/>
      <c r="B10" s="9"/>
      <c r="C10" s="12"/>
      <c r="D10" s="12"/>
      <c r="E10" s="12"/>
    </row>
  </sheetData>
  <mergeCells count="1">
    <mergeCell ref="A1:L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A971B-7D06-4D9B-A75E-32A646FB407E}">
  <sheetPr codeName="Sheet12"/>
  <dimension ref="A1:P25"/>
  <sheetViews>
    <sheetView workbookViewId="0">
      <selection activeCell="G16" sqref="G16"/>
    </sheetView>
  </sheetViews>
  <sheetFormatPr defaultRowHeight="14.4" x14ac:dyDescent="0.3"/>
  <cols>
    <col min="1" max="1" width="19.6640625" bestFit="1" customWidth="1"/>
    <col min="2" max="3" width="11.88671875" bestFit="1" customWidth="1"/>
    <col min="4" max="4" width="12.88671875" bestFit="1" customWidth="1"/>
    <col min="5" max="5" width="10.33203125" bestFit="1" customWidth="1"/>
    <col min="6" max="6" width="11.5546875" bestFit="1" customWidth="1"/>
    <col min="7" max="7" width="14.88671875" bestFit="1" customWidth="1"/>
    <col min="8" max="8" width="10.88671875" bestFit="1" customWidth="1"/>
    <col min="9" max="9" width="11" bestFit="1" customWidth="1"/>
    <col min="10" max="10" width="19" bestFit="1" customWidth="1"/>
    <col min="11" max="11" width="12" bestFit="1" customWidth="1"/>
    <col min="12" max="12" width="15.5546875" bestFit="1" customWidth="1"/>
    <col min="13" max="13" width="11.77734375" bestFit="1" customWidth="1"/>
    <col min="15" max="15" width="11.5546875" bestFit="1" customWidth="1"/>
    <col min="16" max="16" width="11.88671875" bestFit="1" customWidth="1"/>
  </cols>
  <sheetData>
    <row r="1" spans="1:16" x14ac:dyDescent="0.3">
      <c r="A1" s="40" t="s">
        <v>204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</row>
    <row r="2" spans="1:16" x14ac:dyDescent="0.3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</row>
    <row r="4" spans="1:16" ht="28.8" x14ac:dyDescent="0.3">
      <c r="A4" s="19" t="s">
        <v>4</v>
      </c>
      <c r="B4" s="19" t="s">
        <v>187</v>
      </c>
      <c r="C4" s="19" t="s">
        <v>188</v>
      </c>
      <c r="D4" s="19" t="s">
        <v>189</v>
      </c>
      <c r="F4" s="42" t="s">
        <v>1</v>
      </c>
      <c r="G4" s="42" t="s">
        <v>2</v>
      </c>
      <c r="H4" s="42" t="s">
        <v>4</v>
      </c>
      <c r="I4" s="42" t="s">
        <v>175</v>
      </c>
      <c r="J4" s="42" t="s">
        <v>190</v>
      </c>
      <c r="K4" s="42" t="s">
        <v>191</v>
      </c>
      <c r="L4" s="42" t="s">
        <v>192</v>
      </c>
      <c r="M4" s="32" t="s">
        <v>193</v>
      </c>
      <c r="O4" s="32" t="s">
        <v>1</v>
      </c>
      <c r="P4" s="32" t="s">
        <v>194</v>
      </c>
    </row>
    <row r="5" spans="1:16" x14ac:dyDescent="0.3">
      <c r="A5" s="13" t="str" cm="1">
        <f t="array" ref="A5:A15">_xlfn.UNIQUE('01_Employee_Master'!D4:D18)</f>
        <v>HR Analyst</v>
      </c>
      <c r="B5" s="14">
        <v>400000</v>
      </c>
      <c r="C5" s="14">
        <v>500000</v>
      </c>
      <c r="D5" s="14">
        <v>600000</v>
      </c>
      <c r="F5" t="str">
        <f>'01_Employee_Master'!A4</f>
        <v>EMP001</v>
      </c>
      <c r="G5" t="str">
        <f>'01_Employee_Master'!B4</f>
        <v>Aarav Mehta</v>
      </c>
      <c r="H5" t="str">
        <f>'01_Employee_Master'!D4</f>
        <v>HR Analyst</v>
      </c>
      <c r="I5">
        <f>'01_Employee_Master'!E4</f>
        <v>600000</v>
      </c>
      <c r="J5">
        <f>IFERROR(_xlfn.XLOOKUP(H5,$A$5:$A$14,$C$5:$C$14),"")</f>
        <v>500000</v>
      </c>
      <c r="K5">
        <f>IFERROR(I5/J5,0)</f>
        <v>1.2</v>
      </c>
      <c r="L5">
        <f>IFERROR((I5-_xlfn.XLOOKUP(H5,$A$5:$A$14,$B$5:$B$14))/(_xlfn.XLOOKUP(H5,$A$5:$A$14,$D$5:$D$14)-_xlfn.XLOOKUP(H5,$A$5:$A$14,$B$5:$B$14)),0)</f>
        <v>1</v>
      </c>
      <c r="M5" s="38" t="str">
        <f>IF(K5&lt;0.8,"Below Market",IF(K5&gt;1.2,"Above Market","Within Range"))</f>
        <v>Within Range</v>
      </c>
      <c r="O5" t="str">
        <f>F5</f>
        <v>EMP001</v>
      </c>
      <c r="P5" t="str">
        <f>IF(M5&lt;&gt;"Within Range",M5,"No Exception")</f>
        <v>No Exception</v>
      </c>
    </row>
    <row r="6" spans="1:16" x14ac:dyDescent="0.3">
      <c r="A6" s="13" t="str">
        <v>Financial Analyst</v>
      </c>
      <c r="B6" s="14">
        <v>500000</v>
      </c>
      <c r="C6" s="14">
        <v>650000</v>
      </c>
      <c r="D6" s="14">
        <v>800000</v>
      </c>
    </row>
    <row r="7" spans="1:16" x14ac:dyDescent="0.3">
      <c r="A7" s="13" t="str">
        <v>Sales Executive</v>
      </c>
      <c r="B7" s="14">
        <v>300000</v>
      </c>
      <c r="C7" s="14">
        <v>400000</v>
      </c>
      <c r="D7" s="14">
        <v>500000</v>
      </c>
    </row>
    <row r="8" spans="1:16" x14ac:dyDescent="0.3">
      <c r="A8" s="13" t="str">
        <v>Data Analyst</v>
      </c>
      <c r="B8" s="14">
        <v>500000</v>
      </c>
      <c r="C8" s="14">
        <v>650000</v>
      </c>
      <c r="D8" s="14">
        <v>800000</v>
      </c>
    </row>
    <row r="9" spans="1:16" x14ac:dyDescent="0.3">
      <c r="A9" s="13" t="str">
        <v>Marketing Executive</v>
      </c>
      <c r="B9" s="14">
        <v>400000</v>
      </c>
      <c r="C9" s="14">
        <v>500000</v>
      </c>
      <c r="D9" s="14">
        <v>600000</v>
      </c>
    </row>
    <row r="10" spans="1:16" x14ac:dyDescent="0.3">
      <c r="A10" s="13" t="str">
        <v>Wealth Management</v>
      </c>
      <c r="B10" s="14">
        <v>500000</v>
      </c>
      <c r="C10" s="14">
        <v>700000</v>
      </c>
      <c r="D10" s="14">
        <v>900000</v>
      </c>
    </row>
    <row r="11" spans="1:16" x14ac:dyDescent="0.3">
      <c r="A11" s="13" t="str">
        <v>Portfolio Management</v>
      </c>
      <c r="B11" s="14">
        <v>600000</v>
      </c>
      <c r="C11" s="14">
        <v>800000</v>
      </c>
      <c r="D11" s="14">
        <v>1000000</v>
      </c>
    </row>
    <row r="12" spans="1:16" x14ac:dyDescent="0.3">
      <c r="A12" s="13" t="str">
        <v>Sales &amp; Strategy</v>
      </c>
      <c r="B12" s="14">
        <v>500000</v>
      </c>
      <c r="C12" s="14">
        <v>650000</v>
      </c>
      <c r="D12" s="14">
        <v>800000</v>
      </c>
    </row>
    <row r="13" spans="1:16" x14ac:dyDescent="0.3">
      <c r="A13" s="13" t="str">
        <v>Consultant</v>
      </c>
      <c r="B13" s="14">
        <v>500000</v>
      </c>
      <c r="C13" s="14">
        <v>650000</v>
      </c>
      <c r="D13" s="14">
        <v>800000</v>
      </c>
    </row>
    <row r="14" spans="1:16" x14ac:dyDescent="0.3">
      <c r="A14" s="13" t="str">
        <v xml:space="preserve">Data Engineer </v>
      </c>
      <c r="B14" s="14">
        <v>600000</v>
      </c>
      <c r="C14" s="14">
        <v>800000</v>
      </c>
      <c r="D14" s="14">
        <v>1000000</v>
      </c>
    </row>
    <row r="15" spans="1:16" x14ac:dyDescent="0.3">
      <c r="A15">
        <v>0</v>
      </c>
    </row>
    <row r="21" spans="15:16" x14ac:dyDescent="0.3">
      <c r="O21" s="32" t="s">
        <v>195</v>
      </c>
    </row>
    <row r="22" spans="15:16" ht="28.8" x14ac:dyDescent="0.3">
      <c r="O22" s="1" t="s">
        <v>196</v>
      </c>
      <c r="P22">
        <f>COUNTIF(M5:M18,"Below Market")</f>
        <v>0</v>
      </c>
    </row>
    <row r="23" spans="15:16" ht="43.2" x14ac:dyDescent="0.3">
      <c r="O23" s="1" t="s">
        <v>197</v>
      </c>
      <c r="P23">
        <f>COUNTIF(M5:M18,"Within Range")</f>
        <v>1</v>
      </c>
    </row>
    <row r="24" spans="15:16" ht="28.8" x14ac:dyDescent="0.3">
      <c r="O24" s="1" t="s">
        <v>198</v>
      </c>
      <c r="P24">
        <f>COUNTIF(M5:M18,"Above Market")</f>
        <v>0</v>
      </c>
    </row>
    <row r="25" spans="15:16" ht="43.2" x14ac:dyDescent="0.3">
      <c r="O25" s="1" t="s">
        <v>199</v>
      </c>
      <c r="P25">
        <f>AVERAGE(K5:K18)</f>
        <v>1.2</v>
      </c>
    </row>
  </sheetData>
  <mergeCells count="1">
    <mergeCell ref="A1:L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73BDD-BADD-4A7A-A862-0B3F894E4930}">
  <sheetPr codeName="Sheet13"/>
  <dimension ref="A1:L9"/>
  <sheetViews>
    <sheetView workbookViewId="0">
      <selection activeCell="E5" sqref="E5:E9"/>
    </sheetView>
  </sheetViews>
  <sheetFormatPr defaultRowHeight="14.4" x14ac:dyDescent="0.3"/>
  <cols>
    <col min="1" max="1" width="9.21875" bestFit="1" customWidth="1"/>
    <col min="2" max="2" width="11.88671875" bestFit="1" customWidth="1"/>
    <col min="4" max="4" width="9.21875" bestFit="1" customWidth="1"/>
    <col min="5" max="5" width="11.88671875" bestFit="1" customWidth="1"/>
  </cols>
  <sheetData>
    <row r="1" spans="1:12" x14ac:dyDescent="0.3">
      <c r="A1" s="40" t="s">
        <v>203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</row>
    <row r="2" spans="1:12" x14ac:dyDescent="0.3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</row>
    <row r="4" spans="1:12" ht="43.2" x14ac:dyDescent="0.3">
      <c r="A4" s="18" t="s">
        <v>3</v>
      </c>
      <c r="B4" s="18" t="s">
        <v>200</v>
      </c>
      <c r="D4" s="18" t="s">
        <v>3</v>
      </c>
      <c r="E4" s="18" t="s">
        <v>201</v>
      </c>
    </row>
    <row r="5" spans="1:12" x14ac:dyDescent="0.3">
      <c r="A5" s="1" t="s">
        <v>11</v>
      </c>
      <c r="B5" s="9">
        <f ca="1">AVERAGEIF('01_Employee_Master'!$C$4:$C$18,A5,'01_Employee_Master'!$E$4:$E$18)</f>
        <v>577431</v>
      </c>
      <c r="D5" s="1" t="s">
        <v>11</v>
      </c>
      <c r="E5" s="12">
        <f>AVERAGEIF('08_Compensation_Planning'!$C$5:$C$11,D5,'08_Compensation_Planning'!$H$5:$H$11)</f>
        <v>642000</v>
      </c>
    </row>
    <row r="6" spans="1:12" x14ac:dyDescent="0.3">
      <c r="A6" t="s">
        <v>17</v>
      </c>
      <c r="B6" s="9">
        <f ca="1">AVERAGEIF('01_Employee_Master'!$C$4:$C$18,A6,'01_Employee_Master'!$E$4:$E$18)</f>
        <v>724428.5</v>
      </c>
      <c r="D6" t="s">
        <v>17</v>
      </c>
      <c r="E6" s="12">
        <f>AVERAGEIF('08_Compensation_Planning'!$C$5:$C$11,D6,'08_Compensation_Planning'!$H$5:$H$11)</f>
        <v>770400</v>
      </c>
    </row>
    <row r="7" spans="1:12" x14ac:dyDescent="0.3">
      <c r="A7" t="s">
        <v>21</v>
      </c>
      <c r="B7" s="9">
        <f>AVERAGEIF('01_Employee_Master'!$C$4:$C$18,A7,'01_Employee_Master'!$E$4:$E$18)</f>
        <v>480000</v>
      </c>
      <c r="D7" t="s">
        <v>21</v>
      </c>
      <c r="E7" s="12">
        <f>AVERAGEIF('08_Compensation_Planning'!$C$5:$C$11,D7,'08_Compensation_Planning'!$H$5:$H$11)</f>
        <v>513600</v>
      </c>
    </row>
    <row r="8" spans="1:12" x14ac:dyDescent="0.3">
      <c r="A8" t="s">
        <v>25</v>
      </c>
      <c r="B8" s="9">
        <f ca="1">AVERAGEIF('01_Employee_Master'!$C$4:$C$18,A8,'01_Employee_Master'!$E$4:$E$18)</f>
        <v>761521</v>
      </c>
      <c r="D8" t="s">
        <v>25</v>
      </c>
      <c r="E8" s="12">
        <f ca="1">AVERAGEIF('08_Compensation_Planning'!$C$5:$C$11,D8,'08_Compensation_Planning'!$H$5:$H$11)</f>
        <v>947247.7</v>
      </c>
    </row>
    <row r="9" spans="1:12" x14ac:dyDescent="0.3">
      <c r="A9" t="s">
        <v>29</v>
      </c>
      <c r="B9" s="9">
        <f ca="1">AVERAGEIF('01_Employee_Master'!$C$4:$C$18,A9,'01_Employee_Master'!$E$4:$E$18)</f>
        <v>701343.5</v>
      </c>
      <c r="D9" t="s">
        <v>29</v>
      </c>
      <c r="E9" s="12">
        <f ca="1">AVERAGEIF('08_Compensation_Planning'!$C$5:$C$11,D9,'08_Compensation_Planning'!$H$5:$H$11)</f>
        <v>733221.88</v>
      </c>
    </row>
  </sheetData>
  <mergeCells count="1">
    <mergeCell ref="A1:L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01_Employee_Master</vt:lpstr>
      <vt:lpstr>02_Employee_Calculator</vt:lpstr>
      <vt:lpstr>03_Policy_Assumptions</vt:lpstr>
      <vt:lpstr>04_Salary_Engine</vt:lpstr>
      <vt:lpstr>05_Validation_Audit</vt:lpstr>
      <vt:lpstr>06_CTC_Statement</vt:lpstr>
      <vt:lpstr>07_Documentation</vt:lpstr>
      <vt:lpstr>07_Monthly_Payslip</vt:lpstr>
      <vt:lpstr>08_Compensation_Planning</vt:lpstr>
      <vt:lpstr>09_Compensation_Simulator</vt:lpstr>
      <vt:lpstr>10_Compensation_Dept Budget</vt:lpstr>
      <vt:lpstr>11_Salary_Benchmark</vt:lpstr>
      <vt:lpstr>12_Compensation_Equity </vt:lpstr>
      <vt:lpstr>'07_Monthly_Payslip'!Print_Area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Shahbaaz Sheikh</cp:lastModifiedBy>
  <cp:lastPrinted>2026-09-21T08:18:47Z</cp:lastPrinted>
  <dcterms:created xsi:type="dcterms:W3CDTF">2026-09-19T14:16:57Z</dcterms:created>
  <dcterms:modified xsi:type="dcterms:W3CDTF">2026-09-25T09:34:15Z</dcterms:modified>
</cp:coreProperties>
</file>